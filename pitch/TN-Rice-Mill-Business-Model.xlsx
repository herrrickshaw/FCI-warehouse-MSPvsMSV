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Projection" sheetId="2" state="visible" r:id="rId2"/>
    <sheet xmlns:r="http://schemas.openxmlformats.org/officeDocument/2006/relationships" name="Returns &amp; DCF" sheetId="3" state="visible" r:id="rId3"/>
    <sheet xmlns:r="http://schemas.openxmlformats.org/officeDocument/2006/relationships" name="Sensitivity — the real risk" sheetId="4" state="visible" r:id="rId4"/>
    <sheet xmlns:r="http://schemas.openxmlformats.org/officeDocument/2006/relationships" name="TN Conditions &amp; Sources" sheetId="5" state="visible" r:id="rId5"/>
    <sheet xmlns:r="http://schemas.openxmlformats.org/officeDocument/2006/relationships" name="Mandi Arrivals (Agmarknet)" sheetId="6" state="visible" r:id="rId6"/>
    <sheet xmlns:r="http://schemas.openxmlformats.org/officeDocument/2006/relationships" name="Farmer CBG-Loop Sav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21">
    <font>
      <name val="Calibri"/>
      <family val="2"/>
      <color theme="1"/>
      <sz val="11"/>
      <scheme val="minor"/>
    </font>
    <font>
      <b val="1"/>
      <color rgb="001f5637"/>
      <sz val="14"/>
    </font>
    <font>
      <i val="1"/>
      <color rgb="00888888"/>
      <sz val="9"/>
    </font>
    <font>
      <b val="1"/>
      <color rgb="001f5637"/>
      <sz val="10"/>
    </font>
    <font>
      <color rgb="000645ad"/>
    </font>
    <font>
      <b val="1"/>
      <color rgb="00FFFFFF"/>
    </font>
    <font/>
    <font>
      <b val="1"/>
    </font>
    <font>
      <b val="1"/>
      <color rgb="001f5637"/>
      <sz val="11"/>
    </font>
    <font>
      <b val="1"/>
      <color rgb="002f7a4f"/>
      <sz val="11"/>
    </font>
    <font>
      <b val="1"/>
      <color rgb="00b03b3b"/>
    </font>
    <font>
      <b val="1"/>
      <color rgb="002f7a4f"/>
    </font>
    <font>
      <b val="1"/>
      <color rgb="00b7791f"/>
      <sz val="10"/>
    </font>
    <font>
      <color rgb="00000000"/>
      <sz val="10"/>
    </font>
    <font>
      <sz val="10"/>
    </font>
    <font>
      <b val="1"/>
      <color rgb="00b7791f"/>
      <sz val="11"/>
    </font>
    <font>
      <sz val="9.5"/>
    </font>
    <font>
      <b val="1"/>
      <i val="1"/>
      <color rgb="001f5637"/>
      <sz val="9"/>
    </font>
    <font>
      <b val="1"/>
      <color rgb="00b7791f"/>
      <sz val="9.5"/>
    </font>
    <font>
      <color rgb="00000000"/>
      <sz val="9.5"/>
    </font>
    <font>
      <b val="1"/>
      <color rgb="002f7a4f"/>
      <sz val="12"/>
    </font>
  </fonts>
  <fills count="4">
    <fill>
      <patternFill/>
    </fill>
    <fill>
      <patternFill patternType="gray125"/>
    </fill>
    <fill>
      <patternFill patternType="solid">
        <fgColor rgb="00e6efe7"/>
      </patternFill>
    </fill>
    <fill>
      <patternFill patternType="solid">
        <fgColor rgb="002f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9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165" fontId="0" fillId="0" borderId="0" pivotButton="0" quotePrefix="0" xfId="0"/>
    <xf numFmtId="0" fontId="7" fillId="2" borderId="0" pivotButton="0" quotePrefix="0" xfId="0"/>
    <xf numFmtId="165" fontId="7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164" fontId="7" fillId="0" borderId="0" pivotButton="0" quotePrefix="0" xfId="0"/>
    <xf numFmtId="2" fontId="7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6" fontId="10" fillId="0" borderId="0" pivotButton="0" quotePrefix="0" xfId="0"/>
    <xf numFmtId="166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2" borderId="0" pivotButton="0" quotePrefix="0" xfId="0"/>
    <xf numFmtId="3" fontId="0" fillId="0" borderId="0" pivotButton="0" quotePrefix="0" xfId="0"/>
    <xf numFmtId="0" fontId="11" fillId="0" borderId="0" pivotButton="0" quotePrefix="0" xfId="0"/>
    <xf numFmtId="3" fontId="11" fillId="0" borderId="0" pivotButton="0" quotePrefix="0" xfId="0"/>
    <xf numFmtId="165" fontId="4" fillId="0" borderId="0" pivotButton="0" quotePrefix="0" xfId="0"/>
    <xf numFmtId="3" fontId="7" fillId="0" borderId="0" pivotButton="0" quotePrefix="0" xfId="0"/>
    <xf numFmtId="3" fontId="1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3" fontId="20" fillId="0" borderId="0" pivotButton="0" quotePrefix="0" xfId="0"/>
    <xf numFmtId="164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Tamil Nadu 2-TPH Parboiled Ponni Rice Mill — Business Model</t>
        </is>
      </c>
    </row>
    <row r="3">
      <c r="B3" s="2" t="inlineStr">
        <is>
          <t>Tailored to TN: parboiled ponni, TNCSC paddy price, TANGEDCO power, SIPCOT food park, TN+MoFPI subsidy. Blue=editable.</t>
        </is>
      </c>
    </row>
    <row r="5">
      <c r="B5" s="3" t="inlineStr">
        <is>
          <t>CAPACITY (scaled to TN SME)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B6" t="inlineStr">
        <is>
          <t>Mill capacity</t>
        </is>
      </c>
      <c r="C6" s="5" t="inlineStr">
        <is>
          <t>2 TPH</t>
        </is>
      </c>
      <c r="E6" s="2" t="inlineStr">
        <is>
          <t>mini-modern parboiled</t>
        </is>
      </c>
    </row>
    <row r="7">
      <c r="B7" t="inlineStr">
        <is>
          <t>Paddy throughput (t/yr)</t>
        </is>
      </c>
      <c r="C7" s="6" t="n">
        <v>12000</v>
      </c>
      <c r="E7" s="2" t="inlineStr">
        <is>
          <t>0.12 LMT</t>
        </is>
      </c>
    </row>
    <row r="8">
      <c r="B8" t="inlineStr">
        <is>
          <t>Operating days</t>
        </is>
      </c>
      <c r="C8" s="6" t="n">
        <v>300</v>
      </c>
    </row>
    <row r="10">
      <c r="B10" s="3" t="inlineStr">
        <is>
          <t>MASS BALANCE (parboiled milling, % paddy)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t="inlineStr">
        <is>
          <t>Head rice (ponni parboiled)</t>
        </is>
      </c>
      <c r="C11" s="7" t="n">
        <v>0.55</v>
      </c>
    </row>
    <row r="12">
      <c r="B12" t="inlineStr">
        <is>
          <t>Broken → poha/idli-rava</t>
        </is>
      </c>
      <c r="C12" s="7" t="n">
        <v>0.12</v>
      </c>
    </row>
    <row r="13">
      <c r="B13" t="inlineStr">
        <is>
          <t>Bran → sold to extractor</t>
        </is>
      </c>
      <c r="C13" s="7" t="n">
        <v>0.08</v>
      </c>
    </row>
    <row r="14">
      <c r="B14" t="inlineStr">
        <is>
          <t>Husk → fires parboiling boiler</t>
        </is>
      </c>
      <c r="C14" s="7" t="n">
        <v>0.2</v>
      </c>
    </row>
    <row r="15">
      <c r="B15" t="inlineStr">
        <is>
          <t>Loss</t>
        </is>
      </c>
      <c r="C15" s="7" t="n">
        <v>0.05</v>
      </c>
    </row>
    <row r="17">
      <c r="B17" s="3" t="inlineStr">
        <is>
          <t>TN COMMODITY PRICES (₹/tonne)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t="inlineStr">
        <is>
          <t>Paddy (TNCSC procurement price)</t>
        </is>
      </c>
      <c r="C18" s="6" t="n">
        <v>25000</v>
      </c>
      <c r="E18" s="2" t="inlineStr">
        <is>
          <t>₹2,500/qtl = MSP ₹2,369 + TN ₹131 incentive</t>
        </is>
      </c>
    </row>
    <row r="19">
      <c r="B19" t="inlineStr">
        <is>
          <t>Ponni parboiled rice (blended)</t>
        </is>
      </c>
      <c r="C19" s="6" t="n">
        <v>42000</v>
      </c>
      <c r="E19" s="2" t="inlineStr">
        <is>
          <t>₹42/kg (premium ponni ₹46-57; natural PB ₹38.5)</t>
        </is>
      </c>
    </row>
    <row r="20">
      <c r="B20" t="inlineStr">
        <is>
          <t>Poha / idli-rava (from broken)</t>
        </is>
      </c>
      <c r="C20" s="6" t="n">
        <v>42000</v>
      </c>
    </row>
    <row r="21">
      <c r="B21" t="inlineStr">
        <is>
          <t>Rice bran (Coimbatore)</t>
        </is>
      </c>
      <c r="C21" s="6" t="n">
        <v>20000</v>
      </c>
      <c r="E21" s="2" t="inlineStr">
        <is>
          <t>₹20/kg — sold to solvent extractor</t>
        </is>
      </c>
    </row>
    <row r="22">
      <c r="B22" t="inlineStr">
        <is>
          <t>Husk (part sale)</t>
        </is>
      </c>
      <c r="C22" s="6" t="n">
        <v>2500</v>
      </c>
      <c r="E22" s="2" t="inlineStr">
        <is>
          <t>75% fires parboiling — saves TANGEDCO ₹10.45/unit</t>
        </is>
      </c>
    </row>
    <row r="24">
      <c r="B24" s="3" t="inlineStr">
        <is>
          <t>COSTS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t="inlineStr">
        <is>
          <t>Processing (₹/t paddy)</t>
        </is>
      </c>
      <c r="C25" s="6" t="n">
        <v>2000</v>
      </c>
      <c r="E25" s="2" t="inlineStr">
        <is>
          <t>incl. parboiling energy, net of captive husk</t>
        </is>
      </c>
    </row>
    <row r="26">
      <c r="B26" t="inlineStr">
        <is>
          <t>SG&amp;A (% revenue)</t>
        </is>
      </c>
      <c r="C26" s="7" t="n">
        <v>0.03</v>
      </c>
    </row>
    <row r="28">
      <c r="B28" s="3" t="inlineStr">
        <is>
          <t>CAPITAL &amp; FINANCING (₹ cr)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t="inlineStr">
        <is>
          <t>Project cost (2 TPH parboiled + poha line)</t>
        </is>
      </c>
      <c r="C29" s="8" t="n">
        <v>2.5</v>
      </c>
      <c r="E29" s="2" t="inlineStr">
        <is>
          <t>machinery ₹0.35-0.60cr + civil + parboiling</t>
        </is>
      </c>
    </row>
    <row r="30">
      <c r="B30" t="inlineStr">
        <is>
          <t>Working capital (seasonal paddy)</t>
        </is>
      </c>
      <c r="C30" s="8" t="n">
        <v>8</v>
      </c>
      <c r="E30" s="2" t="inlineStr">
        <is>
          <t>~3-4 months — the BINDING constraint (Cauvery delta seasons)</t>
        </is>
      </c>
    </row>
    <row r="31">
      <c r="B31" t="inlineStr">
        <is>
          <t>Capital subsidy (TN 25% + micro 10%)</t>
        </is>
      </c>
      <c r="C31" s="9" t="n">
        <v>0.35</v>
      </c>
      <c r="E31" s="2" t="inlineStr">
        <is>
          <t>TN MSME + MoFPI PMFME stack; max ₹1.5cr TN</t>
        </is>
      </c>
    </row>
    <row r="32">
      <c r="B32" t="inlineStr">
        <is>
          <t>Promoter equity</t>
        </is>
      </c>
      <c r="C32" s="9" t="n">
        <v>0.2</v>
      </c>
    </row>
    <row r="33">
      <c r="B33" t="inlineStr">
        <is>
          <t>Bank term loan</t>
        </is>
      </c>
      <c r="C33" s="9" t="n">
        <v>0.45</v>
      </c>
    </row>
    <row r="34">
      <c r="B34" t="inlineStr">
        <is>
          <t>Lending rate (MCLR-linked)</t>
        </is>
      </c>
      <c r="C34" s="7" t="n">
        <v>0.105</v>
      </c>
      <c r="E34" s="2" t="inlineStr">
        <is>
          <t>~10.5%</t>
        </is>
      </c>
    </row>
    <row r="35">
      <c r="B35" t="inlineStr">
        <is>
          <t>Depreciation / Tax</t>
        </is>
      </c>
      <c r="C35" s="5" t="inlineStr">
        <is>
          <t>10% / 25%</t>
        </is>
      </c>
      <c r="E35" s="2" t="inlineStr">
        <is>
          <t>15% u/s 115BAB avail.</t>
        </is>
      </c>
    </row>
    <row r="37">
      <c r="B37" s="3" t="inlineStr">
        <is>
          <t>DCF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B38" t="inlineStr">
        <is>
          <t>WACC / terminal growth</t>
        </is>
      </c>
      <c r="C38" s="5" t="inlineStr">
        <is>
          <t>12% / 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Profit &amp; Loss — 8-year (₹ crore)</t>
        </is>
      </c>
    </row>
    <row r="3">
      <c r="B3" s="2" t="inlineStr">
        <is>
          <t>Steady state Year 3. Thin margin — see Sensitivity sheet.</t>
        </is>
      </c>
    </row>
    <row r="5">
      <c r="B5" s="10" t="inlineStr">
        <is>
          <t>₹ crore</t>
        </is>
      </c>
      <c r="C5" s="10" t="inlineStr">
        <is>
          <t>Y1</t>
        </is>
      </c>
      <c r="D5" s="10" t="inlineStr">
        <is>
          <t>Y2</t>
        </is>
      </c>
      <c r="E5" s="10" t="inlineStr">
        <is>
          <t>Y3</t>
        </is>
      </c>
      <c r="F5" s="10" t="inlineStr">
        <is>
          <t>Y4</t>
        </is>
      </c>
      <c r="G5" s="10" t="inlineStr">
        <is>
          <t>Y5</t>
        </is>
      </c>
      <c r="H5" s="10" t="inlineStr">
        <is>
          <t>Y6</t>
        </is>
      </c>
      <c r="I5" s="10" t="inlineStr">
        <is>
          <t>Y7</t>
        </is>
      </c>
      <c r="J5" s="10" t="inlineStr">
        <is>
          <t>Y8</t>
        </is>
      </c>
    </row>
    <row r="6">
      <c r="B6" s="11" t="inlineStr">
        <is>
          <t>Capacity utilisation</t>
        </is>
      </c>
      <c r="C6" s="12" t="n">
        <v>0.75</v>
      </c>
      <c r="D6" s="12" t="n">
        <v>0.8</v>
      </c>
      <c r="E6" s="12" t="n">
        <v>0.9</v>
      </c>
      <c r="F6" s="12" t="n">
        <v>0.9</v>
      </c>
      <c r="G6" s="12" t="n">
        <v>0.9</v>
      </c>
      <c r="H6" s="12" t="n">
        <v>0.9</v>
      </c>
      <c r="I6" s="12" t="n">
        <v>0.9</v>
      </c>
      <c r="J6" s="12" t="n">
        <v>0.9</v>
      </c>
    </row>
    <row r="7">
      <c r="B7" s="13" t="inlineStr">
        <is>
          <t>Revenue</t>
        </is>
      </c>
      <c r="C7" s="14" t="n">
        <v>26.8785</v>
      </c>
      <c r="D7" s="14" t="n">
        <v>28.6704</v>
      </c>
      <c r="E7" s="14" t="n">
        <v>32.2542</v>
      </c>
      <c r="F7" s="14" t="n">
        <v>32.2542</v>
      </c>
      <c r="G7" s="14" t="n">
        <v>32.2542</v>
      </c>
      <c r="H7" s="14" t="n">
        <v>32.2542</v>
      </c>
      <c r="I7" s="14" t="n">
        <v>32.2542</v>
      </c>
      <c r="J7" s="14" t="n">
        <v>32.2542</v>
      </c>
    </row>
    <row r="8">
      <c r="B8" s="11" t="inlineStr">
        <is>
          <t xml:space="preserve">  Cost of goods (paddy+processing)</t>
        </is>
      </c>
      <c r="C8" s="15" t="n">
        <v>24.3</v>
      </c>
      <c r="D8" s="15" t="n">
        <v>25.92</v>
      </c>
      <c r="E8" s="15" t="n">
        <v>29.16</v>
      </c>
      <c r="F8" s="15" t="n">
        <v>29.16</v>
      </c>
      <c r="G8" s="15" t="n">
        <v>29.16</v>
      </c>
      <c r="H8" s="15" t="n">
        <v>29.16</v>
      </c>
      <c r="I8" s="15" t="n">
        <v>29.16</v>
      </c>
      <c r="J8" s="15" t="n">
        <v>29.16</v>
      </c>
    </row>
    <row r="9">
      <c r="B9" s="11" t="inlineStr">
        <is>
          <t xml:space="preserve">  SG&amp;A</t>
        </is>
      </c>
      <c r="C9" s="15" t="n">
        <v>0.8063549999999999</v>
      </c>
      <c r="D9" s="15" t="n">
        <v>0.860112</v>
      </c>
      <c r="E9" s="15" t="n">
        <v>0.9676259999999999</v>
      </c>
      <c r="F9" s="15" t="n">
        <v>0.9676259999999999</v>
      </c>
      <c r="G9" s="15" t="n">
        <v>0.9676259999999999</v>
      </c>
      <c r="H9" s="15" t="n">
        <v>0.9676259999999999</v>
      </c>
      <c r="I9" s="15" t="n">
        <v>0.9676259999999999</v>
      </c>
      <c r="J9" s="15" t="n">
        <v>0.9676259999999999</v>
      </c>
    </row>
    <row r="10">
      <c r="B10" s="16" t="inlineStr">
        <is>
          <t>EBITDA</t>
        </is>
      </c>
      <c r="C10" s="17" t="n">
        <v>1.772144999999998</v>
      </c>
      <c r="D10" s="17" t="n">
        <v>1.890287999999999</v>
      </c>
      <c r="E10" s="17" t="n">
        <v>2.126573999999997</v>
      </c>
      <c r="F10" s="17" t="n">
        <v>2.126573999999997</v>
      </c>
      <c r="G10" s="17" t="n">
        <v>2.126573999999997</v>
      </c>
      <c r="H10" s="17" t="n">
        <v>2.126573999999997</v>
      </c>
      <c r="I10" s="17" t="n">
        <v>2.126573999999997</v>
      </c>
      <c r="J10" s="17" t="n">
        <v>2.126573999999997</v>
      </c>
    </row>
    <row r="11">
      <c r="B11" s="11" t="inlineStr">
        <is>
          <t xml:space="preserve">  EBITDA margin</t>
        </is>
      </c>
      <c r="C11" s="18" t="n">
        <v>0.06593169261677542</v>
      </c>
      <c r="D11" s="18" t="n">
        <v>0.06593169261677545</v>
      </c>
      <c r="E11" s="18" t="n">
        <v>0.06593169261677541</v>
      </c>
      <c r="F11" s="18" t="n">
        <v>0.06593169261677541</v>
      </c>
      <c r="G11" s="18" t="n">
        <v>0.06593169261677541</v>
      </c>
      <c r="H11" s="18" t="n">
        <v>0.06593169261677541</v>
      </c>
      <c r="I11" s="18" t="n">
        <v>0.06593169261677541</v>
      </c>
      <c r="J11" s="18" t="n">
        <v>0.06593169261677541</v>
      </c>
    </row>
    <row r="12">
      <c r="B12" s="11" t="inlineStr">
        <is>
          <t xml:space="preserve">  Depreciation</t>
        </is>
      </c>
      <c r="C12" s="15" t="n">
        <v>0.25</v>
      </c>
      <c r="D12" s="15" t="n">
        <v>0.25</v>
      </c>
      <c r="E12" s="15" t="n">
        <v>0.25</v>
      </c>
      <c r="F12" s="15" t="n">
        <v>0.25</v>
      </c>
      <c r="G12" s="15" t="n">
        <v>0.25</v>
      </c>
      <c r="H12" s="15" t="n">
        <v>0.25</v>
      </c>
      <c r="I12" s="15" t="n">
        <v>0.25</v>
      </c>
      <c r="J12" s="15" t="n">
        <v>0.25</v>
      </c>
    </row>
    <row r="13">
      <c r="B13" s="13" t="inlineStr">
        <is>
          <t>EBIT</t>
        </is>
      </c>
      <c r="C13" s="14" t="n">
        <v>1.522144999999998</v>
      </c>
      <c r="D13" s="14" t="n">
        <v>1.640287999999999</v>
      </c>
      <c r="E13" s="14" t="n">
        <v>1.876573999999997</v>
      </c>
      <c r="F13" s="14" t="n">
        <v>1.876573999999997</v>
      </c>
      <c r="G13" s="14" t="n">
        <v>1.876573999999997</v>
      </c>
      <c r="H13" s="14" t="n">
        <v>1.876573999999997</v>
      </c>
      <c r="I13" s="14" t="n">
        <v>1.876573999999997</v>
      </c>
      <c r="J13" s="14" t="n">
        <v>1.876573999999997</v>
      </c>
    </row>
    <row r="14">
      <c r="B14" s="11" t="inlineStr">
        <is>
          <t xml:space="preserve">  Interest</t>
        </is>
      </c>
      <c r="C14" s="15" t="n">
        <v>0.958125</v>
      </c>
      <c r="D14" s="15" t="n">
        <v>0.958125</v>
      </c>
      <c r="E14" s="15" t="n">
        <v>0.9412499999999999</v>
      </c>
      <c r="F14" s="15" t="n">
        <v>0.9243749999999999</v>
      </c>
      <c r="G14" s="15" t="n">
        <v>0.9075</v>
      </c>
      <c r="H14" s="15" t="n">
        <v>0.890625</v>
      </c>
      <c r="I14" s="15" t="n">
        <v>0.87375</v>
      </c>
      <c r="J14" s="15" t="n">
        <v>0.8568749999999999</v>
      </c>
    </row>
    <row r="15">
      <c r="B15" s="11" t="inlineStr">
        <is>
          <t>PBT</t>
        </is>
      </c>
      <c r="C15" s="15" t="n">
        <v>0.5640199999999983</v>
      </c>
      <c r="D15" s="15" t="n">
        <v>0.6821629999999991</v>
      </c>
      <c r="E15" s="15" t="n">
        <v>0.9353239999999972</v>
      </c>
      <c r="F15" s="15" t="n">
        <v>0.9521989999999971</v>
      </c>
      <c r="G15" s="15" t="n">
        <v>0.9690739999999971</v>
      </c>
      <c r="H15" s="15" t="n">
        <v>0.9859489999999971</v>
      </c>
      <c r="I15" s="15" t="n">
        <v>1.002823999999997</v>
      </c>
      <c r="J15" s="15" t="n">
        <v>1.019698999999997</v>
      </c>
    </row>
    <row r="16">
      <c r="B16" s="11" t="inlineStr">
        <is>
          <t xml:space="preserve">  Tax</t>
        </is>
      </c>
      <c r="C16" s="15" t="n">
        <v>0.1410049999999996</v>
      </c>
      <c r="D16" s="15" t="n">
        <v>0.1705407499999998</v>
      </c>
      <c r="E16" s="15" t="n">
        <v>0.2338309999999993</v>
      </c>
      <c r="F16" s="15" t="n">
        <v>0.2380497499999993</v>
      </c>
      <c r="G16" s="15" t="n">
        <v>0.2422684999999993</v>
      </c>
      <c r="H16" s="15" t="n">
        <v>0.2464872499999993</v>
      </c>
      <c r="I16" s="15" t="n">
        <v>0.2507059999999993</v>
      </c>
      <c r="J16" s="15" t="n">
        <v>0.2549247499999993</v>
      </c>
    </row>
    <row r="17">
      <c r="B17" s="16" t="inlineStr">
        <is>
          <t>PAT</t>
        </is>
      </c>
      <c r="C17" s="17" t="n">
        <v>0.4230149999999987</v>
      </c>
      <c r="D17" s="17" t="n">
        <v>0.5116222499999993</v>
      </c>
      <c r="E17" s="17" t="n">
        <v>0.7014929999999979</v>
      </c>
      <c r="F17" s="17" t="n">
        <v>0.7141492499999978</v>
      </c>
      <c r="G17" s="17" t="n">
        <v>0.7268054999999978</v>
      </c>
      <c r="H17" s="17" t="n">
        <v>0.7394617499999978</v>
      </c>
      <c r="I17" s="17" t="n">
        <v>0.7521179999999978</v>
      </c>
      <c r="J17" s="17" t="n">
        <v>0.7647742499999978</v>
      </c>
    </row>
    <row r="18">
      <c r="B18" s="11" t="inlineStr">
        <is>
          <t xml:space="preserve">  Net margin</t>
        </is>
      </c>
      <c r="C18" s="18" t="n">
        <v>0.01573804341760138</v>
      </c>
      <c r="D18" s="18" t="n">
        <v>0.01784496379541266</v>
      </c>
      <c r="E18" s="18" t="n">
        <v>0.02174888851684426</v>
      </c>
      <c r="F18" s="18" t="n">
        <v>0.02214127927525711</v>
      </c>
      <c r="G18" s="18" t="n">
        <v>0.02253367003366996</v>
      </c>
      <c r="H18" s="18" t="n">
        <v>0.02292606079208282</v>
      </c>
      <c r="I18" s="18" t="n">
        <v>0.02331845155049568</v>
      </c>
      <c r="J18" s="18" t="n">
        <v>0.02371084230890854</v>
      </c>
    </row>
    <row r="19">
      <c r="B19" s="11" t="inlineStr">
        <is>
          <t>DSCR</t>
        </is>
      </c>
      <c r="C19" s="19" t="n">
        <v>1.702429223744291</v>
      </c>
      <c r="D19" s="19" t="n">
        <v>1.53708157369723</v>
      </c>
      <c r="E19" s="19" t="n">
        <v>1.717608296872466</v>
      </c>
      <c r="F19" s="19" t="n">
        <v>1.740432123755449</v>
      </c>
      <c r="G19" s="19" t="n">
        <v>1.763977064526912</v>
      </c>
      <c r="H19" s="19" t="n">
        <v>1.788277842887471</v>
      </c>
      <c r="I19" s="19" t="n">
        <v>1.81337144829967</v>
      </c>
      <c r="J19" s="19" t="n">
        <v>1.839297323857153</v>
      </c>
    </row>
    <row r="20">
      <c r="C20" s="19" t="n">
        <v>1.702429223744291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Returns &amp; DCF valuation (₹ crore)</t>
        </is>
      </c>
    </row>
    <row r="6">
      <c r="B6" s="3" t="inlineStr">
        <is>
          <t>HEADLINE RETURNS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0" t="inlineStr">
        <is>
          <t>Project IRR (gross)</t>
        </is>
      </c>
      <c r="C7" s="21" t="n">
        <v>0.1897130891971844</v>
      </c>
      <c r="E7" s="2" t="inlineStr">
        <is>
          <t>matches NCDC benchmark DPR (19%)</t>
        </is>
      </c>
    </row>
    <row r="8">
      <c r="B8" s="20" t="inlineStr">
        <is>
          <t>Project IRR (net of subsidy)</t>
        </is>
      </c>
      <c r="C8" s="21" t="n">
        <v>0.2080926132431128</v>
      </c>
    </row>
    <row r="9">
      <c r="B9" s="13" t="inlineStr">
        <is>
          <t>NPV @ 12% (₹ cr)</t>
        </is>
      </c>
      <c r="C9" s="14" t="n">
        <v>4.524493186747012</v>
      </c>
    </row>
    <row r="10">
      <c r="B10" s="13" t="inlineStr">
        <is>
          <t>ROCE (steady)</t>
        </is>
      </c>
      <c r="C10" s="22" t="n">
        <v>0.1787213333333331</v>
      </c>
    </row>
    <row r="11">
      <c r="B11" s="13" t="inlineStr">
        <is>
          <t>DSCR (steady)</t>
        </is>
      </c>
      <c r="C11" s="23" t="n">
        <v>1.717608296872466</v>
      </c>
    </row>
    <row r="12">
      <c r="B12" s="13" t="inlineStr">
        <is>
          <t>Revenue Y3 / EBITDA / PAT</t>
        </is>
      </c>
      <c r="C12" s="13" t="inlineStr">
        <is>
          <t>₹32cr / 6.6% / 2.2%</t>
        </is>
      </c>
    </row>
    <row r="14">
      <c r="B14" s="3" t="inlineStr">
        <is>
          <t>CAPITAL (₹ cr)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B15" t="inlineStr">
        <is>
          <t>Project cost + working capital</t>
        </is>
      </c>
      <c r="C15" s="15" t="n">
        <v>10.5</v>
      </c>
    </row>
    <row r="16">
      <c r="B16" t="inlineStr">
        <is>
          <t xml:space="preserve">  less subsidy (35%)</t>
        </is>
      </c>
      <c r="C16" s="24" t="n">
        <v>-0.875</v>
      </c>
    </row>
    <row r="17">
      <c r="B17" t="inlineStr">
        <is>
          <t xml:space="preserve">  promoter equity (20% of capex)</t>
        </is>
      </c>
      <c r="C17" s="24" t="n">
        <v>0.5</v>
      </c>
    </row>
    <row r="18">
      <c r="B18" t="inlineStr">
        <is>
          <t xml:space="preserve">  term loan + WC cash-credit</t>
        </is>
      </c>
      <c r="C18" s="15" t="n">
        <v>9.125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Sensitivity: EBITDA vs ponni price × paddy cost</t>
        </is>
      </c>
    </row>
    <row r="3">
      <c r="B3" s="2" t="inlineStr">
        <is>
          <t>The TN small-mill reality: a ±₹2/kg move in either price flips the margin. WC + paddy volatility, not returns, are the risk.</t>
        </is>
      </c>
    </row>
    <row r="6">
      <c r="B6" s="13" t="inlineStr">
        <is>
          <t>EBITDA ₹cr (steady) →  columns = paddy ₹/kg</t>
        </is>
      </c>
    </row>
    <row r="7">
      <c r="B7" s="2" t="inlineStr">
        <is>
          <t>rows = ponni ₹/kg</t>
        </is>
      </c>
      <c r="C7" s="13" t="inlineStr">
        <is>
          <t>Paddy →</t>
        </is>
      </c>
      <c r="D7" s="13" t="inlineStr">
        <is>
          <t>₹24</t>
        </is>
      </c>
      <c r="E7" s="13" t="inlineStr">
        <is>
          <t>₹25</t>
        </is>
      </c>
      <c r="F7" s="13" t="inlineStr">
        <is>
          <t>₹26</t>
        </is>
      </c>
      <c r="G7" s="13" t="inlineStr">
        <is>
          <t>₹27</t>
        </is>
      </c>
    </row>
    <row r="8">
      <c r="C8" s="13" t="inlineStr">
        <is>
          <t>Ponni ₹38</t>
        </is>
      </c>
      <c r="D8" s="25" t="n">
        <v>0.9018540000000002</v>
      </c>
      <c r="E8" s="26" t="n">
        <v>-0.1781460000000017</v>
      </c>
      <c r="F8" s="26" t="n">
        <v>-1.258146</v>
      </c>
      <c r="G8" s="26" t="n">
        <v>-2.338146000000002</v>
      </c>
    </row>
    <row r="9">
      <c r="C9" s="13" t="inlineStr">
        <is>
          <t>Ponni ₹40</t>
        </is>
      </c>
      <c r="D9" s="25" t="n">
        <v>2.054213999999998</v>
      </c>
      <c r="E9" s="25" t="n">
        <v>0.9742139999999964</v>
      </c>
      <c r="F9" s="26" t="n">
        <v>-0.1057860000000019</v>
      </c>
      <c r="G9" s="26" t="n">
        <v>-1.185786000000004</v>
      </c>
    </row>
    <row r="10">
      <c r="C10" s="13" t="inlineStr">
        <is>
          <t>Ponni ₹42</t>
        </is>
      </c>
      <c r="D10" s="27" t="n">
        <v>3.206574</v>
      </c>
      <c r="E10" s="25" t="n">
        <v>2.126573999999998</v>
      </c>
      <c r="F10" s="25" t="n">
        <v>1.046574</v>
      </c>
      <c r="G10" s="26" t="n">
        <v>-0.03342600000000218</v>
      </c>
    </row>
    <row r="11">
      <c r="C11" s="13" t="inlineStr">
        <is>
          <t>Ponni ₹44</t>
        </is>
      </c>
      <c r="D11" s="27" t="n">
        <v>4.358933999999998</v>
      </c>
      <c r="E11" s="27" t="n">
        <v>3.278933999999996</v>
      </c>
      <c r="F11" s="25" t="n">
        <v>2.198933999999998</v>
      </c>
      <c r="G11" s="25" t="n">
        <v>1.118933999999996</v>
      </c>
    </row>
    <row r="14">
      <c r="B14" s="13" t="inlineStr">
        <is>
          <t>Base case: ponni ₹42, paddy ₹25 → EBITDA ₹2.1 cr (6.6%).</t>
        </is>
      </c>
    </row>
    <row r="15">
      <c r="B15" s="28" t="inlineStr">
        <is>
          <t>→ Margin turns NEGATIVE at ponni ₹38 or paddy ₹27 — a ₹2/kg adverse move wipes it out.</t>
        </is>
      </c>
    </row>
    <row r="16">
      <c r="B16" s="28" t="inlineStr">
        <is>
          <t>→ This is why TN mills live or die on PADDY PROCUREMENT timing and ponni positioning,</t>
        </is>
      </c>
    </row>
    <row r="17">
      <c r="B17" s="29" t="inlineStr">
        <is>
          <t xml:space="preserve">   not on plant efficiency. Working capital (₹8 cr, 3x the capex) is the binding constraint.</t>
        </is>
      </c>
    </row>
    <row r="18">
      <c r="B18" s="28" t="inlineStr">
        <is>
          <t>→ Mitigants: parboiled ponni premium, custom-milling (CMR) for TNCSC as a floor,</t>
        </is>
      </c>
    </row>
    <row r="19">
      <c r="B19" s="29" t="inlineStr">
        <is>
          <t xml:space="preserve">   husk-fired parboiling (saves TANGEDCO ₹10.45/unit), and selling bran to Coimbatore extractors.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Tamil Nadu conditions, incentives &amp; sources</t>
        </is>
      </c>
    </row>
    <row r="5">
      <c r="B5" s="30" t="inlineStr">
        <is>
          <t>TAMIL NADU TAILORING</t>
        </is>
      </c>
    </row>
    <row r="6">
      <c r="B6" s="31" t="inlineStr">
        <is>
          <t>• Paddy: TNCSC procures at ₹2,500/qtl common (MSP ₹2,369 + TN state incentive ₹131); Grade-A ₹2,545.</t>
        </is>
      </c>
    </row>
    <row r="7">
      <c r="B7" s="31" t="inlineStr">
        <is>
          <t>• Product: parboiled ponni is TN's staple — sells at a premium (₹46-57/kg aged; ₹38.5 natural PB;</t>
        </is>
      </c>
    </row>
    <row r="8">
      <c r="B8" s="31" t="inlineStr">
        <is>
          <t xml:space="preserve">  ₹42/kg blended used here). Higher realisation than generic raw rice.</t>
        </is>
      </c>
    </row>
    <row r="9">
      <c r="B9" s="31" t="inlineStr">
        <is>
          <t>• Parboiling: extra energy step, but rice HUSK fires the parboiling boiler — a natural synergy that</t>
        </is>
      </c>
    </row>
    <row r="10">
      <c r="B10" s="31" t="inlineStr">
        <is>
          <t xml:space="preserve">  offsets TANGEDCO's high industrial tariff (~₹10.45/unit HT + 5% e-tax).</t>
        </is>
      </c>
    </row>
    <row r="11">
      <c r="B11" s="31" t="inlineStr">
        <is>
          <t>• Location: SIPCOT food parks (Theni, Ramanathapuram) + Cauvery-delta mill clusters (Thanjavur,</t>
        </is>
      </c>
    </row>
    <row r="12">
      <c r="B12" s="31" t="inlineStr">
        <is>
          <t xml:space="preserve">  Thiruvarur, Nagapattinam — the 'rice bowl'); plug-and-play, 99-yr lease.</t>
        </is>
      </c>
    </row>
    <row r="13">
      <c r="B13" s="31" t="inlineStr">
        <is>
          <t>• NIFTEM-Thanjavur (in TN) is the PMFME model-DPR source for poha/murmura.</t>
        </is>
      </c>
    </row>
    <row r="14">
      <c r="B14" s="31" t="inlineStr"/>
    </row>
    <row r="15">
      <c r="B15" s="30" t="inlineStr">
        <is>
          <t>INCENTIVE STACK</t>
        </is>
      </c>
    </row>
    <row r="16">
      <c r="B16" s="31" t="inlineStr">
        <is>
          <t>• TN MSME capital subsidy: 25% of plant &amp; machinery (max ₹1.5 cr) + 10% extra for micro (max ₹5 L).</t>
        </is>
      </c>
    </row>
    <row r="17">
      <c r="B17" s="31" t="inlineStr">
        <is>
          <t>• MoFPI PMFME: 35% credit-linked (max ₹10 L/micro) — combinable on different components.</t>
        </is>
      </c>
    </row>
    <row r="18">
      <c r="B18" s="31" t="inlineStr">
        <is>
          <t>• SIPCOT/SIDCO developed land + power/water/ETP infrastructure.</t>
        </is>
      </c>
    </row>
    <row r="19">
      <c r="B19" s="31" t="inlineStr">
        <is>
          <t>• Blended ~35% capital subsidy used in the model.</t>
        </is>
      </c>
    </row>
    <row r="20">
      <c r="B20" s="31" t="inlineStr"/>
    </row>
    <row r="21">
      <c r="B21" s="31" t="inlineStr">
        <is>
          <t>SEASONALITY (the WC driver)</t>
        </is>
      </c>
    </row>
    <row r="22">
      <c r="B22" s="31" t="inlineStr">
        <is>
          <t>• Cauvery delta paddy: Kuruvai (Jun-Sep), Samba (Aug-Jan), Thaladi/Navarai — seasonal harvest,</t>
        </is>
      </c>
    </row>
    <row r="23">
      <c r="B23" s="31" t="inlineStr">
        <is>
          <t xml:space="preserve">  year-round milling → 3-4 months paddy inventory → WC (₹8 cr) is 3x the fixed capex.</t>
        </is>
      </c>
    </row>
    <row r="24">
      <c r="B24" s="31" t="inlineStr"/>
    </row>
    <row r="25">
      <c r="B25" s="31" t="inlineStr">
        <is>
          <t>RETURNS (honest)</t>
        </is>
      </c>
    </row>
    <row r="26">
      <c r="B26" s="31" t="inlineStr">
        <is>
          <t>• Project IRR ~19%, EBITDA ~7%, PAT ~2%, DSCR 1.7 — matches the NCDC</t>
        </is>
      </c>
    </row>
    <row r="27">
      <c r="B27" s="31" t="inlineStr">
        <is>
          <t xml:space="preserve">  1-TPH DPR benchmark (19% IRR). Attractive but MARGIN-THIN and paddy-price-exposed (see Sensitivity).</t>
        </is>
      </c>
    </row>
    <row r="28">
      <c r="B28" s="31" t="inlineStr">
        <is>
          <t>• RBO: sell bran to Coimbatore/Erode solvent extractors (₹20/kg) — in-house extraction not worth it at 2 TPH.</t>
        </is>
      </c>
    </row>
    <row r="29">
      <c r="B29" s="31" t="inlineStr"/>
    </row>
    <row r="30">
      <c r="B30" s="31" t="inlineStr">
        <is>
          <t>SOURCES: TNCSC procurement (tncsc.tn.gov.in); ponni/PB rice &amp; bran prices (IndiaMART/commodityonline</t>
        </is>
      </c>
    </row>
    <row r="31">
      <c r="B31" s="31" t="inlineStr">
        <is>
          <t>Chennai-Coimbatore, Oct 2025-Mar 2026); TANGEDCO tariff 2025-26; TN MSME/SIPCOT incentive guidelines;</t>
        </is>
      </c>
    </row>
    <row r="32">
      <c r="B32" s="31" t="inlineStr">
        <is>
          <t>NCDC &amp; NIFTEM-T DPR benchmarks. Illustrative — a bankable DPR needs site-specific quotes. Not investment advice.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30" customWidth="1" min="3" max="3"/>
    <col width="2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2">
      <c r="B2" s="1" t="inlineStr">
        <is>
          <t>Tamil Nadu Mandi Prices &amp; Arrivals — Madurai &amp; Dindigul</t>
        </is>
      </c>
    </row>
    <row r="3">
      <c r="B3" s="2" t="inlineStr">
        <is>
          <t>Agmarknet daily feed via data.gov.in, 24/07/2026. 194 price points (Madurai 120, Dindigul 74).</t>
        </is>
      </c>
    </row>
    <row r="5">
      <c r="B5" s="32" t="inlineStr">
        <is>
          <t>KEY FINDING — no open-market paddy/rice in TN</t>
        </is>
      </c>
    </row>
    <row r="6">
      <c r="B6" s="33" t="inlineStr">
        <is>
          <t>Agmarknet shows ZERO open-market paddy/rice trades in Tamil Nadu (total=0 on the daily feed).</t>
        </is>
      </c>
    </row>
    <row r="7">
      <c r="B7" s="33" t="inlineStr">
        <is>
          <t>TN paddy is procured almost entirely by TNCSC at the administered ₹2,500/qtl through Direct</t>
        </is>
      </c>
    </row>
    <row r="8">
      <c r="B8" s="33" t="inlineStr">
        <is>
          <t>Procurement Centres (DPCs) — not auctioned on APMC mandis. IMPLICATION for the model: the mill's</t>
        </is>
      </c>
    </row>
    <row r="9">
      <c r="B9" s="33" t="inlineStr">
        <is>
          <t>paddy cost is the FIXED TNCSC price, so paddy-price volatility is lower than a mandi-traded state —</t>
        </is>
      </c>
    </row>
    <row r="10">
      <c r="B10" s="33" t="inlineStr">
        <is>
          <t>the risk shifts to ponni output pricing and paddy AVAILABILITY (procurement competition), not price.</t>
        </is>
      </c>
    </row>
    <row r="11">
      <c r="B11" s="33" t="inlineStr">
        <is>
          <t>e-NAM would show transaction prices for TN-integrated mandis but is geo-fenced (needs India egress);</t>
        </is>
      </c>
    </row>
    <row r="12">
      <c r="B12" s="33" t="inlineStr">
        <is>
          <t>these Agmarknet arrivals are the reachable public source. Madurai/Dindigul yards mainly trade</t>
        </is>
      </c>
    </row>
    <row r="13">
      <c r="B13" s="33" t="inlineStr">
        <is>
          <t>vegetables, fruit and groundnut (Uzhavar Sandhai farmer markets), listed below.</t>
        </is>
      </c>
    </row>
    <row r="15">
      <c r="B15" s="10" t="inlineStr">
        <is>
          <t>District</t>
        </is>
      </c>
      <c r="C15" s="10" t="inlineStr">
        <is>
          <t>Market</t>
        </is>
      </c>
      <c r="D15" s="10" t="inlineStr">
        <is>
          <t>Commodity / Variety</t>
        </is>
      </c>
      <c r="E15" s="10" t="inlineStr">
        <is>
          <t>Min ₹/q</t>
        </is>
      </c>
      <c r="F15" s="10" t="inlineStr">
        <is>
          <t>Max ₹/q</t>
        </is>
      </c>
      <c r="G15" s="10" t="inlineStr">
        <is>
          <t>Modal ₹/q</t>
        </is>
      </c>
      <c r="H15" s="10" t="inlineStr">
        <is>
          <t>Date</t>
        </is>
      </c>
    </row>
    <row r="16">
      <c r="B16" s="34" t="inlineStr">
        <is>
          <t>Grain / pulse / oilseed-relevant (ties to the mill's byproduct &amp; feed markets)</t>
        </is>
      </c>
      <c r="C16" s="4" t="n"/>
      <c r="D16" s="4" t="n"/>
      <c r="E16" s="4" t="n"/>
      <c r="F16" s="4" t="n"/>
      <c r="G16" s="4" t="n"/>
      <c r="H16" s="4" t="n"/>
    </row>
    <row r="17">
      <c r="B17" t="inlineStr">
        <is>
          <t>Dindigul</t>
        </is>
      </c>
      <c r="C17" t="inlineStr">
        <is>
          <t>Chinnalapatti(UzhavarSandhai</t>
        </is>
      </c>
      <c r="D17" t="inlineStr">
        <is>
          <t>Coconut / Coconut</t>
        </is>
      </c>
      <c r="E17" s="35" t="n">
        <v>5500</v>
      </c>
      <c r="F17" s="35" t="n">
        <v>6000</v>
      </c>
      <c r="G17" s="35" t="n">
        <v>5750</v>
      </c>
      <c r="H17" t="inlineStr">
        <is>
          <t>24/07/2026</t>
        </is>
      </c>
    </row>
    <row r="18">
      <c r="B18" t="inlineStr">
        <is>
          <t>Dindigul</t>
        </is>
      </c>
      <c r="C18" t="inlineStr">
        <is>
          <t>Dindigul(UzhavarSandhai)</t>
        </is>
      </c>
      <c r="D18" t="inlineStr">
        <is>
          <t>Coconut / Coconut</t>
        </is>
      </c>
      <c r="E18" s="35" t="n">
        <v>5000</v>
      </c>
      <c r="F18" s="35" t="n">
        <v>6000</v>
      </c>
      <c r="G18" s="35" t="n">
        <v>5500</v>
      </c>
      <c r="H18" t="inlineStr">
        <is>
          <t>24/07/2026</t>
        </is>
      </c>
    </row>
    <row r="19">
      <c r="B19" t="inlineStr">
        <is>
          <t>Dindigul</t>
        </is>
      </c>
      <c r="C19" t="inlineStr">
        <is>
          <t>Chinnalapatti(UzhavarSandhai</t>
        </is>
      </c>
      <c r="D19" t="inlineStr">
        <is>
          <t>Green Avare(W) / Other</t>
        </is>
      </c>
      <c r="E19" s="35" t="n">
        <v>7000</v>
      </c>
      <c r="F19" s="35" t="n">
        <v>9000</v>
      </c>
      <c r="G19" s="35" t="n">
        <v>8000</v>
      </c>
      <c r="H19" t="inlineStr">
        <is>
          <t>24/07/2026</t>
        </is>
      </c>
    </row>
    <row r="20">
      <c r="B20" t="inlineStr">
        <is>
          <t>Dindigul</t>
        </is>
      </c>
      <c r="C20" t="inlineStr">
        <is>
          <t>Dindigul(UzhavarSandhai)</t>
        </is>
      </c>
      <c r="D20" t="inlineStr">
        <is>
          <t>Green Avare(W) / Other</t>
        </is>
      </c>
      <c r="E20" s="35" t="n">
        <v>7000</v>
      </c>
      <c r="F20" s="35" t="n">
        <v>9000</v>
      </c>
      <c r="G20" s="35" t="n">
        <v>8000</v>
      </c>
      <c r="H20" t="inlineStr">
        <is>
          <t>24/07/2026</t>
        </is>
      </c>
    </row>
    <row r="21">
      <c r="B21" t="inlineStr">
        <is>
          <t>Dindigul</t>
        </is>
      </c>
      <c r="C21" t="inlineStr">
        <is>
          <t>Chinnalapatti(UzhavarSandhai</t>
        </is>
      </c>
      <c r="D21" t="inlineStr">
        <is>
          <t>Onion / Bellary</t>
        </is>
      </c>
      <c r="E21" s="35" t="n">
        <v>3500</v>
      </c>
      <c r="F21" s="35" t="n">
        <v>4000</v>
      </c>
      <c r="G21" s="35" t="n">
        <v>3750</v>
      </c>
      <c r="H21" t="inlineStr">
        <is>
          <t>24/07/2026</t>
        </is>
      </c>
    </row>
    <row r="22">
      <c r="B22" t="inlineStr">
        <is>
          <t>Dindigul</t>
        </is>
      </c>
      <c r="C22" t="inlineStr">
        <is>
          <t>Dindigul(UzhavarSandhai)</t>
        </is>
      </c>
      <c r="D22" t="inlineStr">
        <is>
          <t>Onion / Bellary</t>
        </is>
      </c>
      <c r="E22" s="35" t="n">
        <v>3000</v>
      </c>
      <c r="F22" s="35" t="n">
        <v>4000</v>
      </c>
      <c r="G22" s="35" t="n">
        <v>3500</v>
      </c>
      <c r="H22" t="inlineStr">
        <is>
          <t>24/07/2026</t>
        </is>
      </c>
    </row>
    <row r="23">
      <c r="B23" t="inlineStr">
        <is>
          <t>Dindigul</t>
        </is>
      </c>
      <c r="C23" t="inlineStr">
        <is>
          <t>Chinnalapatti(UzhavarSandhai</t>
        </is>
      </c>
      <c r="D23" t="inlineStr">
        <is>
          <t>Onion Green / Onion Green</t>
        </is>
      </c>
      <c r="E23" s="35" t="n">
        <v>5000</v>
      </c>
      <c r="F23" s="35" t="n">
        <v>5500</v>
      </c>
      <c r="G23" s="35" t="n">
        <v>5250</v>
      </c>
      <c r="H23" t="inlineStr">
        <is>
          <t>24/07/2026</t>
        </is>
      </c>
    </row>
    <row r="24">
      <c r="B24" t="inlineStr">
        <is>
          <t>Madurai</t>
        </is>
      </c>
      <c r="C24" t="inlineStr">
        <is>
          <t>Chokkikulam(UzhavarSandhai)</t>
        </is>
      </c>
      <c r="D24" t="inlineStr">
        <is>
          <t>Coconut / Coconut</t>
        </is>
      </c>
      <c r="E24" s="35" t="n">
        <v>5800</v>
      </c>
      <c r="F24" s="35" t="n">
        <v>6000</v>
      </c>
      <c r="G24" s="35" t="n">
        <v>5900</v>
      </c>
      <c r="H24" t="inlineStr">
        <is>
          <t>24/07/2026</t>
        </is>
      </c>
    </row>
    <row r="25">
      <c r="B25" t="inlineStr">
        <is>
          <t>Madurai</t>
        </is>
      </c>
      <c r="C25" t="inlineStr">
        <is>
          <t>Palanganatham(UzhavarSandhai</t>
        </is>
      </c>
      <c r="D25" t="inlineStr">
        <is>
          <t>Coconut / Coconut</t>
        </is>
      </c>
      <c r="E25" s="35" t="n">
        <v>5800</v>
      </c>
      <c r="F25" s="35" t="n">
        <v>6000</v>
      </c>
      <c r="G25" s="35" t="n">
        <v>5900</v>
      </c>
      <c r="H25" t="inlineStr">
        <is>
          <t>24/07/2026</t>
        </is>
      </c>
    </row>
    <row r="26">
      <c r="B26" t="inlineStr">
        <is>
          <t>Madurai</t>
        </is>
      </c>
      <c r="C26" t="inlineStr">
        <is>
          <t>Anaiyur(UzhavarSandhai)</t>
        </is>
      </c>
      <c r="D26" t="inlineStr">
        <is>
          <t>Coconut / Coconut</t>
        </is>
      </c>
      <c r="E26" s="35" t="n">
        <v>5800</v>
      </c>
      <c r="F26" s="35" t="n">
        <v>6000</v>
      </c>
      <c r="G26" s="35" t="n">
        <v>5900</v>
      </c>
      <c r="H26" t="inlineStr">
        <is>
          <t>24/07/2026</t>
        </is>
      </c>
    </row>
    <row r="27">
      <c r="B27" t="inlineStr">
        <is>
          <t>Madurai</t>
        </is>
      </c>
      <c r="C27" t="inlineStr">
        <is>
          <t>Anna nagar(UzhavarSandhai)</t>
        </is>
      </c>
      <c r="D27" t="inlineStr">
        <is>
          <t>Coconut / Coconut</t>
        </is>
      </c>
      <c r="E27" s="35" t="n">
        <v>5600</v>
      </c>
      <c r="F27" s="35" t="n">
        <v>5600</v>
      </c>
      <c r="G27" s="35" t="n">
        <v>5600</v>
      </c>
      <c r="H27" t="inlineStr">
        <is>
          <t>24/07/2026</t>
        </is>
      </c>
    </row>
    <row r="28">
      <c r="B28" t="inlineStr">
        <is>
          <t>Madurai</t>
        </is>
      </c>
      <c r="C28" t="inlineStr">
        <is>
          <t>Chokkikulam(UzhavarSandhai)</t>
        </is>
      </c>
      <c r="D28" t="inlineStr">
        <is>
          <t>Green Avare(W) / Green Avare (W)</t>
        </is>
      </c>
      <c r="E28" s="35" t="n">
        <v>6000</v>
      </c>
      <c r="F28" s="35" t="n">
        <v>9500</v>
      </c>
      <c r="G28" s="35" t="n">
        <v>7750</v>
      </c>
      <c r="H28" t="inlineStr">
        <is>
          <t>24/07/2026</t>
        </is>
      </c>
    </row>
    <row r="29">
      <c r="B29" t="inlineStr">
        <is>
          <t>Madurai</t>
        </is>
      </c>
      <c r="C29" t="inlineStr">
        <is>
          <t>Anaiyur(UzhavarSandhai)</t>
        </is>
      </c>
      <c r="D29" t="inlineStr">
        <is>
          <t>Green Avare(W) / Green Avare (W)</t>
        </is>
      </c>
      <c r="E29" s="35" t="n">
        <v>5000</v>
      </c>
      <c r="F29" s="35" t="n">
        <v>7000</v>
      </c>
      <c r="G29" s="35" t="n">
        <v>6000</v>
      </c>
      <c r="H29" t="inlineStr">
        <is>
          <t>24/07/2026</t>
        </is>
      </c>
    </row>
    <row r="30">
      <c r="B30" t="inlineStr">
        <is>
          <t>Madurai</t>
        </is>
      </c>
      <c r="C30" t="inlineStr">
        <is>
          <t>Anna nagar(UzhavarSandhai)</t>
        </is>
      </c>
      <c r="D30" t="inlineStr">
        <is>
          <t>Green Avare(W) / Other</t>
        </is>
      </c>
      <c r="E30" s="35" t="n">
        <v>8600</v>
      </c>
      <c r="F30" s="35" t="n">
        <v>8600</v>
      </c>
      <c r="G30" s="35" t="n">
        <v>8600</v>
      </c>
      <c r="H30" t="inlineStr">
        <is>
          <t>24/07/2026</t>
        </is>
      </c>
    </row>
    <row r="31">
      <c r="B31" t="inlineStr">
        <is>
          <t>Madurai</t>
        </is>
      </c>
      <c r="C31" t="inlineStr">
        <is>
          <t>Melur(UzhavarSandhai)</t>
        </is>
      </c>
      <c r="D31" t="inlineStr">
        <is>
          <t>Green Avare(W) / Green Avare (W)</t>
        </is>
      </c>
      <c r="E31" s="35" t="n">
        <v>8500</v>
      </c>
      <c r="F31" s="35" t="n">
        <v>9500</v>
      </c>
      <c r="G31" s="35" t="n">
        <v>9000</v>
      </c>
      <c r="H31" t="inlineStr">
        <is>
          <t>24/07/2026</t>
        </is>
      </c>
    </row>
    <row r="32">
      <c r="B32" t="inlineStr">
        <is>
          <t>Madurai</t>
        </is>
      </c>
      <c r="C32" t="inlineStr">
        <is>
          <t>Usilampatti(UzhavarSandhai)</t>
        </is>
      </c>
      <c r="D32" t="inlineStr">
        <is>
          <t>Green Avare(W) / Green Avare (W)</t>
        </is>
      </c>
      <c r="E32" s="35" t="n">
        <v>5500</v>
      </c>
      <c r="F32" s="35" t="n">
        <v>6000</v>
      </c>
      <c r="G32" s="35" t="n">
        <v>5750</v>
      </c>
      <c r="H32" t="inlineStr">
        <is>
          <t>24/07/2026</t>
        </is>
      </c>
    </row>
    <row r="33">
      <c r="B33" s="36" t="inlineStr">
        <is>
          <t>Madurai</t>
        </is>
      </c>
      <c r="C33" s="36" t="inlineStr">
        <is>
          <t>Melur(UzhavarSandhai)</t>
        </is>
      </c>
      <c r="D33" s="36" t="inlineStr">
        <is>
          <t>Groundnut / Big (With Shell)</t>
        </is>
      </c>
      <c r="E33" s="37" t="n">
        <v>6000</v>
      </c>
      <c r="F33" s="37" t="n">
        <v>7000</v>
      </c>
      <c r="G33" s="37" t="n">
        <v>6500</v>
      </c>
      <c r="H33" s="36" t="inlineStr">
        <is>
          <t>24/07/2026</t>
        </is>
      </c>
    </row>
    <row r="34">
      <c r="B34" t="inlineStr">
        <is>
          <t>Madurai</t>
        </is>
      </c>
      <c r="C34" t="inlineStr">
        <is>
          <t>Melur(UzhavarSandhai)</t>
        </is>
      </c>
      <c r="D34" t="inlineStr">
        <is>
          <t>Onion / Bellary</t>
        </is>
      </c>
      <c r="E34" s="35" t="n">
        <v>3800</v>
      </c>
      <c r="F34" s="35" t="n">
        <v>4000</v>
      </c>
      <c r="G34" s="35" t="n">
        <v>3900</v>
      </c>
      <c r="H34" t="inlineStr">
        <is>
          <t>24/07/2026</t>
        </is>
      </c>
    </row>
    <row r="35">
      <c r="B35" t="inlineStr">
        <is>
          <t>Madurai</t>
        </is>
      </c>
      <c r="C35" t="inlineStr">
        <is>
          <t>Usilampatti(UzhavarSandhai)</t>
        </is>
      </c>
      <c r="D35" t="inlineStr">
        <is>
          <t>Onion / Bellary</t>
        </is>
      </c>
      <c r="E35" s="35" t="n">
        <v>3800</v>
      </c>
      <c r="F35" s="35" t="n">
        <v>4000</v>
      </c>
      <c r="G35" s="35" t="n">
        <v>3900</v>
      </c>
      <c r="H35" t="inlineStr">
        <is>
          <t>24/07/2026</t>
        </is>
      </c>
    </row>
    <row r="36">
      <c r="B36" t="inlineStr">
        <is>
          <t>Madurai</t>
        </is>
      </c>
      <c r="C36" t="inlineStr">
        <is>
          <t>Chokkikulam(UzhavarSandhai)</t>
        </is>
      </c>
      <c r="D36" t="inlineStr">
        <is>
          <t>Onion Green / Onion Green</t>
        </is>
      </c>
      <c r="E36" s="35" t="n">
        <v>5500</v>
      </c>
      <c r="F36" s="35" t="n">
        <v>6000</v>
      </c>
      <c r="G36" s="35" t="n">
        <v>5750</v>
      </c>
      <c r="H36" t="inlineStr">
        <is>
          <t>24/07/2026</t>
        </is>
      </c>
    </row>
    <row r="37">
      <c r="B37" t="inlineStr">
        <is>
          <t>Madurai</t>
        </is>
      </c>
      <c r="C37" t="inlineStr">
        <is>
          <t>Anna nagar(UzhavarSandhai)</t>
        </is>
      </c>
      <c r="D37" t="inlineStr">
        <is>
          <t>Onion Green / Onion Green</t>
        </is>
      </c>
      <c r="E37" s="35" t="n">
        <v>7200</v>
      </c>
      <c r="F37" s="35" t="n">
        <v>7200</v>
      </c>
      <c r="G37" s="35" t="n">
        <v>7200</v>
      </c>
      <c r="H37" t="inlineStr">
        <is>
          <t>24/07/2026</t>
        </is>
      </c>
    </row>
    <row r="38">
      <c r="B38" t="inlineStr">
        <is>
          <t>Madurai</t>
        </is>
      </c>
      <c r="C38" t="inlineStr">
        <is>
          <t>Chokkikulam(UzhavarSandhai)</t>
        </is>
      </c>
      <c r="D38" t="inlineStr">
        <is>
          <t>Soyabean / Local</t>
        </is>
      </c>
      <c r="E38" s="35" t="n">
        <v>10000</v>
      </c>
      <c r="F38" s="35" t="n">
        <v>11000</v>
      </c>
      <c r="G38" s="35" t="n">
        <v>10500</v>
      </c>
      <c r="H38" t="inlineStr">
        <is>
          <t>24/07/2026</t>
        </is>
      </c>
    </row>
    <row r="39">
      <c r="B39" t="inlineStr">
        <is>
          <t>Madurai</t>
        </is>
      </c>
      <c r="C39" t="inlineStr">
        <is>
          <t>Anaiyur(UzhavarSandhai)</t>
        </is>
      </c>
      <c r="D39" t="inlineStr">
        <is>
          <t>Soyabean / Local</t>
        </is>
      </c>
      <c r="E39" s="35" t="n">
        <v>10000</v>
      </c>
      <c r="F39" s="35" t="n">
        <v>11000</v>
      </c>
      <c r="G39" s="35" t="n">
        <v>10500</v>
      </c>
      <c r="H39" t="inlineStr">
        <is>
          <t>24/07/2026</t>
        </is>
      </c>
    </row>
    <row r="40">
      <c r="B40" t="inlineStr">
        <is>
          <t>Madurai</t>
        </is>
      </c>
      <c r="C40" t="inlineStr">
        <is>
          <t>Anna nagar(UzhavarSandhai)</t>
        </is>
      </c>
      <c r="D40" t="inlineStr">
        <is>
          <t>Tender Coconut / Tender Coconut</t>
        </is>
      </c>
      <c r="E40" s="35" t="n">
        <v>4000</v>
      </c>
      <c r="F40" s="35" t="n">
        <v>4000</v>
      </c>
      <c r="G40" s="35" t="n">
        <v>4000</v>
      </c>
      <c r="H40" t="inlineStr">
        <is>
          <t>24/07/2026</t>
        </is>
      </c>
    </row>
    <row r="41">
      <c r="B41" s="34" t="inlineStr">
        <is>
          <t>Other produce (Uzhavar Sandhai — context)</t>
        </is>
      </c>
      <c r="C41" s="4" t="n"/>
      <c r="D41" s="4" t="n"/>
      <c r="E41" s="4" t="n"/>
      <c r="F41" s="4" t="n"/>
      <c r="G41" s="4" t="n"/>
      <c r="H41" s="4" t="n"/>
    </row>
    <row r="42">
      <c r="B42" t="inlineStr">
        <is>
          <t>Dindigul</t>
        </is>
      </c>
      <c r="C42" t="inlineStr">
        <is>
          <t>Dindigul(UzhavarSandhai)</t>
        </is>
      </c>
      <c r="D42" t="inlineStr">
        <is>
          <t>Amaranthus / Amaranthus</t>
        </is>
      </c>
      <c r="E42" s="35" t="n">
        <v>2000</v>
      </c>
      <c r="F42" s="35" t="n">
        <v>3000</v>
      </c>
      <c r="G42" s="35" t="n">
        <v>2500</v>
      </c>
      <c r="H42" t="inlineStr">
        <is>
          <t>24/07/2026</t>
        </is>
      </c>
    </row>
    <row r="43">
      <c r="B43" t="inlineStr">
        <is>
          <t>Dindigul</t>
        </is>
      </c>
      <c r="C43" t="inlineStr">
        <is>
          <t>Chinnalapatti(UzhavarSandhai</t>
        </is>
      </c>
      <c r="D43" t="inlineStr">
        <is>
          <t>Amaranthus / Amaranthus</t>
        </is>
      </c>
      <c r="E43" s="35" t="n">
        <v>2500</v>
      </c>
      <c r="F43" s="35" t="n">
        <v>3000</v>
      </c>
      <c r="G43" s="35" t="n">
        <v>2750</v>
      </c>
      <c r="H43" t="inlineStr">
        <is>
          <t>24/07/2026</t>
        </is>
      </c>
    </row>
    <row r="44">
      <c r="B44" t="inlineStr">
        <is>
          <t>Dindigul</t>
        </is>
      </c>
      <c r="C44" t="inlineStr">
        <is>
          <t>Dindigul(UzhavarSandhai)</t>
        </is>
      </c>
      <c r="D44" t="inlineStr">
        <is>
          <t>Ashgourd / Gouard</t>
        </is>
      </c>
      <c r="E44" s="35" t="n">
        <v>2500</v>
      </c>
      <c r="F44" s="35" t="n">
        <v>3000</v>
      </c>
      <c r="G44" s="35" t="n">
        <v>2750</v>
      </c>
      <c r="H44" t="inlineStr">
        <is>
          <t>24/07/2026</t>
        </is>
      </c>
    </row>
    <row r="45">
      <c r="B45" t="inlineStr">
        <is>
          <t>Dindigul</t>
        </is>
      </c>
      <c r="C45" t="inlineStr">
        <is>
          <t>Chinnalapatti(UzhavarSandhai</t>
        </is>
      </c>
      <c r="D45" t="inlineStr">
        <is>
          <t>Banana / Besrai</t>
        </is>
      </c>
      <c r="E45" s="35" t="n">
        <v>6000</v>
      </c>
      <c r="F45" s="35" t="n">
        <v>7000</v>
      </c>
      <c r="G45" s="35" t="n">
        <v>6500</v>
      </c>
      <c r="H45" t="inlineStr">
        <is>
          <t>24/07/2026</t>
        </is>
      </c>
    </row>
    <row r="46">
      <c r="B46" t="inlineStr">
        <is>
          <t>Dindigul</t>
        </is>
      </c>
      <c r="C46" t="inlineStr">
        <is>
          <t>Chinnalapatti(UzhavarSandhai</t>
        </is>
      </c>
      <c r="D46" t="inlineStr">
        <is>
          <t>Banana - Green / Banana - Green</t>
        </is>
      </c>
      <c r="E46" s="35" t="n">
        <v>3000</v>
      </c>
      <c r="F46" s="35" t="n">
        <v>3600</v>
      </c>
      <c r="G46" s="35" t="n">
        <v>3300</v>
      </c>
      <c r="H46" t="inlineStr">
        <is>
          <t>24/07/2026</t>
        </is>
      </c>
    </row>
    <row r="47">
      <c r="B47" t="inlineStr">
        <is>
          <t>Dindigul</t>
        </is>
      </c>
      <c r="C47" t="inlineStr">
        <is>
          <t>Dindigul(UzhavarSandhai)</t>
        </is>
      </c>
      <c r="D47" t="inlineStr">
        <is>
          <t>Banana - Green / Banana - Green</t>
        </is>
      </c>
      <c r="E47" s="35" t="n">
        <v>1600</v>
      </c>
      <c r="F47" s="35" t="n">
        <v>2000</v>
      </c>
      <c r="G47" s="35" t="n">
        <v>1800</v>
      </c>
      <c r="H47" t="inlineStr">
        <is>
          <t>24/07/2026</t>
        </is>
      </c>
    </row>
    <row r="48">
      <c r="B48" t="inlineStr">
        <is>
          <t>Dindigul</t>
        </is>
      </c>
      <c r="C48" t="inlineStr">
        <is>
          <t>Chinnalapatti(UzhavarSandhai</t>
        </is>
      </c>
      <c r="D48" t="inlineStr">
        <is>
          <t>Beans / Beans (Whole)</t>
        </is>
      </c>
      <c r="E48" s="35" t="n">
        <v>6000</v>
      </c>
      <c r="F48" s="35" t="n">
        <v>7000</v>
      </c>
      <c r="G48" s="35" t="n">
        <v>6500</v>
      </c>
      <c r="H48" t="inlineStr">
        <is>
          <t>24/07/2026</t>
        </is>
      </c>
    </row>
    <row r="49">
      <c r="B49" t="inlineStr">
        <is>
          <t>Dindigul</t>
        </is>
      </c>
      <c r="C49" t="inlineStr">
        <is>
          <t>Dindigul(UzhavarSandhai)</t>
        </is>
      </c>
      <c r="D49" t="inlineStr">
        <is>
          <t>Beans / Beans (Whole)</t>
        </is>
      </c>
      <c r="E49" s="35" t="n">
        <v>6000</v>
      </c>
      <c r="F49" s="35" t="n">
        <v>7000</v>
      </c>
      <c r="G49" s="35" t="n">
        <v>6500</v>
      </c>
      <c r="H49" t="inlineStr">
        <is>
          <t>24/07/2026</t>
        </is>
      </c>
    </row>
    <row r="50">
      <c r="B50" t="inlineStr">
        <is>
          <t>Dindigul</t>
        </is>
      </c>
      <c r="C50" t="inlineStr">
        <is>
          <t>Dindigul(UzhavarSandhai)</t>
        </is>
      </c>
      <c r="D50" t="inlineStr">
        <is>
          <t>Beetroot / Beetroot</t>
        </is>
      </c>
      <c r="E50" s="35" t="n">
        <v>4000</v>
      </c>
      <c r="F50" s="35" t="n">
        <v>8000</v>
      </c>
      <c r="G50" s="35" t="n">
        <v>6000</v>
      </c>
      <c r="H50" t="inlineStr">
        <is>
          <t>24/07/2026</t>
        </is>
      </c>
    </row>
    <row r="51">
      <c r="B51" t="inlineStr">
        <is>
          <t>Dindigul</t>
        </is>
      </c>
      <c r="C51" t="inlineStr">
        <is>
          <t>Chinnalapatti(UzhavarSandhai</t>
        </is>
      </c>
      <c r="D51" t="inlineStr">
        <is>
          <t>Beetroot / Beetroot</t>
        </is>
      </c>
      <c r="E51" s="35" t="n">
        <v>4000</v>
      </c>
      <c r="F51" s="35" t="n">
        <v>8000</v>
      </c>
      <c r="G51" s="35" t="n">
        <v>6000</v>
      </c>
      <c r="H51" t="inlineStr">
        <is>
          <t>24/07/2026</t>
        </is>
      </c>
    </row>
    <row r="52">
      <c r="B52" t="inlineStr">
        <is>
          <t>Dindigul</t>
        </is>
      </c>
      <c r="C52" t="inlineStr">
        <is>
          <t>Dindigul(UzhavarSandhai)</t>
        </is>
      </c>
      <c r="D52" t="inlineStr">
        <is>
          <t>Bhindi(Ladies Finger) / Bhindi</t>
        </is>
      </c>
      <c r="E52" s="35" t="n">
        <v>3000</v>
      </c>
      <c r="F52" s="35" t="n">
        <v>4000</v>
      </c>
      <c r="G52" s="35" t="n">
        <v>3500</v>
      </c>
      <c r="H52" t="inlineStr">
        <is>
          <t>24/07/2026</t>
        </is>
      </c>
    </row>
    <row r="53">
      <c r="B53" t="inlineStr">
        <is>
          <t>Dindigul</t>
        </is>
      </c>
      <c r="C53" t="inlineStr">
        <is>
          <t>Chinnalapatti(UzhavarSandhai</t>
        </is>
      </c>
      <c r="D53" t="inlineStr">
        <is>
          <t>Bhindi(Ladies Finger) / Bhindi</t>
        </is>
      </c>
      <c r="E53" s="35" t="n">
        <v>3600</v>
      </c>
      <c r="F53" s="35" t="n">
        <v>4000</v>
      </c>
      <c r="G53" s="35" t="n">
        <v>3800</v>
      </c>
      <c r="H53" t="inlineStr">
        <is>
          <t>24/07/2026</t>
        </is>
      </c>
    </row>
    <row r="54">
      <c r="B54" t="inlineStr">
        <is>
          <t>Dindigul</t>
        </is>
      </c>
      <c r="C54" t="inlineStr">
        <is>
          <t>Chinnalapatti(UzhavarSandhai</t>
        </is>
      </c>
      <c r="D54" t="inlineStr">
        <is>
          <t>Bitter gourd / Other</t>
        </is>
      </c>
      <c r="E54" s="35" t="n">
        <v>6600</v>
      </c>
      <c r="F54" s="35" t="n">
        <v>7000</v>
      </c>
      <c r="G54" s="35" t="n">
        <v>6800</v>
      </c>
      <c r="H54" t="inlineStr">
        <is>
          <t>24/07/2026</t>
        </is>
      </c>
    </row>
    <row r="55">
      <c r="B55" t="inlineStr">
        <is>
          <t>Dindigul</t>
        </is>
      </c>
      <c r="C55" t="inlineStr">
        <is>
          <t>Dindigul(UzhavarSandhai)</t>
        </is>
      </c>
      <c r="D55" t="inlineStr">
        <is>
          <t>Bitter gourd / Other</t>
        </is>
      </c>
      <c r="E55" s="35" t="n">
        <v>6000</v>
      </c>
      <c r="F55" s="35" t="n">
        <v>7000</v>
      </c>
      <c r="G55" s="35" t="n">
        <v>6500</v>
      </c>
      <c r="H55" t="inlineStr">
        <is>
          <t>24/07/2026</t>
        </is>
      </c>
    </row>
    <row r="56">
      <c r="B56" t="inlineStr">
        <is>
          <t>Dindigul</t>
        </is>
      </c>
      <c r="C56" t="inlineStr">
        <is>
          <t>Chinnalapatti(UzhavarSandhai</t>
        </is>
      </c>
      <c r="D56" t="inlineStr">
        <is>
          <t>Bottle gourd / Bottle Gourd</t>
        </is>
      </c>
      <c r="E56" s="35" t="n">
        <v>2500</v>
      </c>
      <c r="F56" s="35" t="n">
        <v>3000</v>
      </c>
      <c r="G56" s="35" t="n">
        <v>2750</v>
      </c>
      <c r="H56" t="inlineStr">
        <is>
          <t>24/07/2026</t>
        </is>
      </c>
    </row>
    <row r="57">
      <c r="B57" t="inlineStr">
        <is>
          <t>Dindigul</t>
        </is>
      </c>
      <c r="C57" t="inlineStr">
        <is>
          <t>Dindigul(UzhavarSandhai)</t>
        </is>
      </c>
      <c r="D57" t="inlineStr">
        <is>
          <t>Bottle gourd / Bottle Gourd</t>
        </is>
      </c>
      <c r="E57" s="35" t="n">
        <v>2000</v>
      </c>
      <c r="F57" s="35" t="n">
        <v>3000</v>
      </c>
      <c r="G57" s="35" t="n">
        <v>2500</v>
      </c>
      <c r="H57" t="inlineStr">
        <is>
          <t>24/07/2026</t>
        </is>
      </c>
    </row>
    <row r="58">
      <c r="B58" t="inlineStr">
        <is>
          <t>Dindigul</t>
        </is>
      </c>
      <c r="C58" t="inlineStr">
        <is>
          <t>Chinnalapatti(UzhavarSandhai</t>
        </is>
      </c>
      <c r="D58" t="inlineStr">
        <is>
          <t>Brinjal / Other</t>
        </is>
      </c>
      <c r="E58" s="35" t="n">
        <v>5000</v>
      </c>
      <c r="F58" s="35" t="n">
        <v>7000</v>
      </c>
      <c r="G58" s="35" t="n">
        <v>6000</v>
      </c>
      <c r="H58" t="inlineStr">
        <is>
          <t>24/07/2026</t>
        </is>
      </c>
    </row>
    <row r="59">
      <c r="B59" t="inlineStr">
        <is>
          <t>Dindigul</t>
        </is>
      </c>
      <c r="C59" t="inlineStr">
        <is>
          <t>Dindigul(UzhavarSandhai)</t>
        </is>
      </c>
      <c r="D59" t="inlineStr">
        <is>
          <t>Brinjal / Other</t>
        </is>
      </c>
      <c r="E59" s="35" t="n">
        <v>8000</v>
      </c>
      <c r="F59" s="35" t="n">
        <v>11000</v>
      </c>
      <c r="G59" s="35" t="n">
        <v>9500</v>
      </c>
      <c r="H59" t="inlineStr">
        <is>
          <t>24/07/2026</t>
        </is>
      </c>
    </row>
    <row r="60">
      <c r="B60" t="inlineStr">
        <is>
          <t>Dindigul</t>
        </is>
      </c>
      <c r="C60" t="inlineStr">
        <is>
          <t>Chinnalapatti(UzhavarSandhai</t>
        </is>
      </c>
      <c r="D60" t="inlineStr">
        <is>
          <t>Cabbage / Cabbage</t>
        </is>
      </c>
      <c r="E60" s="35" t="n">
        <v>4000</v>
      </c>
      <c r="F60" s="35" t="n">
        <v>4500</v>
      </c>
      <c r="G60" s="35" t="n">
        <v>4250</v>
      </c>
      <c r="H60" t="inlineStr">
        <is>
          <t>24/07/2026</t>
        </is>
      </c>
    </row>
    <row r="61">
      <c r="B61" t="inlineStr">
        <is>
          <t>Dindigul</t>
        </is>
      </c>
      <c r="C61" t="inlineStr">
        <is>
          <t>Dindigul(UzhavarSandhai)</t>
        </is>
      </c>
      <c r="D61" t="inlineStr">
        <is>
          <t>Cabbage / Cabbage</t>
        </is>
      </c>
      <c r="E61" s="35" t="n">
        <v>4000</v>
      </c>
      <c r="F61" s="35" t="n">
        <v>4500</v>
      </c>
      <c r="G61" s="35" t="n">
        <v>4250</v>
      </c>
      <c r="H61" t="inlineStr">
        <is>
          <t>24/07/2026</t>
        </is>
      </c>
    </row>
    <row r="62">
      <c r="B62" t="inlineStr">
        <is>
          <t>Dindigul</t>
        </is>
      </c>
      <c r="C62" t="inlineStr">
        <is>
          <t>Dindigul(UzhavarSandhai)</t>
        </is>
      </c>
      <c r="D62" t="inlineStr">
        <is>
          <t>Capsicum / Capsicum</t>
        </is>
      </c>
      <c r="E62" s="35" t="n">
        <v>9000</v>
      </c>
      <c r="F62" s="35" t="n">
        <v>10000</v>
      </c>
      <c r="G62" s="35" t="n">
        <v>9500</v>
      </c>
      <c r="H62" t="inlineStr">
        <is>
          <t>24/07/2026</t>
        </is>
      </c>
    </row>
    <row r="63">
      <c r="B63" t="inlineStr">
        <is>
          <t>Dindigul</t>
        </is>
      </c>
      <c r="C63" t="inlineStr">
        <is>
          <t>Dindigul(UzhavarSandhai)</t>
        </is>
      </c>
      <c r="D63" t="inlineStr">
        <is>
          <t>Carrot / Pusakesar</t>
        </is>
      </c>
      <c r="E63" s="35" t="n">
        <v>8000</v>
      </c>
      <c r="F63" s="35" t="n">
        <v>9000</v>
      </c>
      <c r="G63" s="35" t="n">
        <v>8500</v>
      </c>
      <c r="H63" t="inlineStr">
        <is>
          <t>24/07/2026</t>
        </is>
      </c>
    </row>
    <row r="64">
      <c r="B64" t="inlineStr">
        <is>
          <t>Dindigul</t>
        </is>
      </c>
      <c r="C64" t="inlineStr">
        <is>
          <t>Chinnalapatti(UzhavarSandhai</t>
        </is>
      </c>
      <c r="D64" t="inlineStr">
        <is>
          <t>Carrot / Pusakesar</t>
        </is>
      </c>
      <c r="E64" s="35" t="n">
        <v>8000</v>
      </c>
      <c r="F64" s="35" t="n">
        <v>9000</v>
      </c>
      <c r="G64" s="35" t="n">
        <v>8500</v>
      </c>
      <c r="H64" t="inlineStr">
        <is>
          <t>24/07/2026</t>
        </is>
      </c>
    </row>
    <row r="65">
      <c r="B65" t="inlineStr">
        <is>
          <t>Dindigul</t>
        </is>
      </c>
      <c r="C65" t="inlineStr">
        <is>
          <t>Dindigul(UzhavarSandhai)</t>
        </is>
      </c>
      <c r="D65" t="inlineStr">
        <is>
          <t>Cauliflower / Ranchi</t>
        </is>
      </c>
      <c r="E65" s="35" t="n">
        <v>3000</v>
      </c>
      <c r="F65" s="35" t="n">
        <v>5000</v>
      </c>
      <c r="G65" s="35" t="n">
        <v>4000</v>
      </c>
      <c r="H65" t="inlineStr">
        <is>
          <t>24/07/2026</t>
        </is>
      </c>
    </row>
    <row r="66">
      <c r="B66" t="inlineStr">
        <is>
          <t>Dindigul</t>
        </is>
      </c>
      <c r="C66" t="inlineStr">
        <is>
          <t>Chinnalapatti(UzhavarSandhai</t>
        </is>
      </c>
      <c r="D66" t="inlineStr">
        <is>
          <t>Cauliflower / Ranchi</t>
        </is>
      </c>
      <c r="E66" s="35" t="n">
        <v>4000</v>
      </c>
      <c r="F66" s="35" t="n">
        <v>5000</v>
      </c>
      <c r="G66" s="35" t="n">
        <v>4500</v>
      </c>
      <c r="H66" t="inlineStr">
        <is>
          <t>24/07/2026</t>
        </is>
      </c>
    </row>
    <row r="67">
      <c r="B67" t="inlineStr">
        <is>
          <t>Dindigul</t>
        </is>
      </c>
      <c r="C67" t="inlineStr">
        <is>
          <t>Dindigul(UzhavarSandhai)</t>
        </is>
      </c>
      <c r="D67" t="inlineStr">
        <is>
          <t>Chow Chow / Chow Chow</t>
        </is>
      </c>
      <c r="E67" s="35" t="n">
        <v>3000</v>
      </c>
      <c r="F67" s="35" t="n">
        <v>3400</v>
      </c>
      <c r="G67" s="35" t="n">
        <v>3200</v>
      </c>
      <c r="H67" t="inlineStr">
        <is>
          <t>24/07/2026</t>
        </is>
      </c>
    </row>
    <row r="68">
      <c r="B68" t="inlineStr">
        <is>
          <t>Dindigul</t>
        </is>
      </c>
      <c r="C68" t="inlineStr">
        <is>
          <t>Chinnalapatti(UzhavarSandhai</t>
        </is>
      </c>
      <c r="D68" t="inlineStr">
        <is>
          <t>Chow Chow / Chow Chow</t>
        </is>
      </c>
      <c r="E68" s="35" t="n">
        <v>3000</v>
      </c>
      <c r="F68" s="35" t="n">
        <v>3400</v>
      </c>
      <c r="G68" s="35" t="n">
        <v>3200</v>
      </c>
      <c r="H68" t="inlineStr">
        <is>
          <t>24/07/2026</t>
        </is>
      </c>
    </row>
    <row r="69">
      <c r="B69" t="inlineStr">
        <is>
          <t>Dindigul</t>
        </is>
      </c>
      <c r="C69" t="inlineStr">
        <is>
          <t>Chinnalapatti(UzhavarSandhai</t>
        </is>
      </c>
      <c r="D69" t="inlineStr">
        <is>
          <t>Cluster beans / Cluster Beans</t>
        </is>
      </c>
      <c r="E69" s="35" t="n">
        <v>3600</v>
      </c>
      <c r="F69" s="35" t="n">
        <v>4000</v>
      </c>
      <c r="G69" s="35" t="n">
        <v>3800</v>
      </c>
      <c r="H69" t="inlineStr">
        <is>
          <t>24/07/2026</t>
        </is>
      </c>
    </row>
    <row r="70">
      <c r="B70" t="inlineStr">
        <is>
          <t>Dindigul</t>
        </is>
      </c>
      <c r="C70" t="inlineStr">
        <is>
          <t>Dindigul(UzhavarSandhai)</t>
        </is>
      </c>
      <c r="D70" t="inlineStr">
        <is>
          <t>Cluster beans / Cluster Beans</t>
        </is>
      </c>
      <c r="E70" s="35" t="n">
        <v>3000</v>
      </c>
      <c r="F70" s="35" t="n">
        <v>4000</v>
      </c>
      <c r="G70" s="35" t="n">
        <v>3500</v>
      </c>
      <c r="H70" t="inlineStr">
        <is>
          <t>24/07/2026</t>
        </is>
      </c>
    </row>
    <row r="71">
      <c r="B71" t="inlineStr">
        <is>
          <t>Dindigul</t>
        </is>
      </c>
      <c r="C71" t="inlineStr">
        <is>
          <t>Dindigul(UzhavarSandhai)</t>
        </is>
      </c>
      <c r="D71" t="inlineStr">
        <is>
          <t>Colacasia / Colacasia</t>
        </is>
      </c>
      <c r="E71" s="35" t="n">
        <v>5000</v>
      </c>
      <c r="F71" s="35" t="n">
        <v>6000</v>
      </c>
      <c r="G71" s="35" t="n">
        <v>5500</v>
      </c>
      <c r="H71" t="inlineStr">
        <is>
          <t>24/07/2026</t>
        </is>
      </c>
    </row>
    <row r="72">
      <c r="B72" t="inlineStr">
        <is>
          <t>Dindigul</t>
        </is>
      </c>
      <c r="C72" t="inlineStr">
        <is>
          <t>Chinnalapatti(UzhavarSandhai</t>
        </is>
      </c>
      <c r="D72" t="inlineStr">
        <is>
          <t>Coriander(Leaves) / I Sort</t>
        </is>
      </c>
      <c r="E72" s="35" t="n">
        <v>5500</v>
      </c>
      <c r="F72" s="35" t="n">
        <v>6000</v>
      </c>
      <c r="G72" s="35" t="n">
        <v>5750</v>
      </c>
      <c r="H72" t="inlineStr">
        <is>
          <t>24/07/2026</t>
        </is>
      </c>
    </row>
    <row r="73">
      <c r="B73" t="inlineStr">
        <is>
          <t>Dindigul</t>
        </is>
      </c>
      <c r="C73" t="inlineStr">
        <is>
          <t>Dindigul(UzhavarSandhai)</t>
        </is>
      </c>
      <c r="D73" t="inlineStr">
        <is>
          <t>Coriander(Leaves) / I Sort</t>
        </is>
      </c>
      <c r="E73" s="35" t="n">
        <v>5500</v>
      </c>
      <c r="F73" s="35" t="n">
        <v>6000</v>
      </c>
      <c r="G73" s="35" t="n">
        <v>5750</v>
      </c>
      <c r="H73" t="inlineStr">
        <is>
          <t>24/07/2026</t>
        </is>
      </c>
    </row>
    <row r="74">
      <c r="B74" t="inlineStr">
        <is>
          <t>Dindigul</t>
        </is>
      </c>
      <c r="C74" t="inlineStr">
        <is>
          <t>Dindigul(UzhavarSandhai)</t>
        </is>
      </c>
      <c r="D74" t="inlineStr">
        <is>
          <t>Drumstick / Drumstick</t>
        </is>
      </c>
      <c r="E74" s="35" t="n">
        <v>5000</v>
      </c>
      <c r="F74" s="35" t="n">
        <v>6000</v>
      </c>
      <c r="G74" s="35" t="n">
        <v>5500</v>
      </c>
      <c r="H74" t="inlineStr">
        <is>
          <t>24/07/2026</t>
        </is>
      </c>
    </row>
    <row r="75">
      <c r="B75" t="inlineStr">
        <is>
          <t>Dindigul</t>
        </is>
      </c>
      <c r="C75" t="inlineStr">
        <is>
          <t>Chinnalapatti(UzhavarSandhai</t>
        </is>
      </c>
      <c r="D75" t="inlineStr">
        <is>
          <t>Drumstick / Drumstick</t>
        </is>
      </c>
      <c r="E75" s="35" t="n">
        <v>5000</v>
      </c>
      <c r="F75" s="35" t="n">
        <v>6000</v>
      </c>
      <c r="G75" s="35" t="n">
        <v>5500</v>
      </c>
      <c r="H75" t="inlineStr">
        <is>
          <t>24/07/2026</t>
        </is>
      </c>
    </row>
    <row r="76">
      <c r="B76" t="inlineStr">
        <is>
          <t>Dindigul</t>
        </is>
      </c>
      <c r="C76" t="inlineStr">
        <is>
          <t>Dindigul(UzhavarSandhai)</t>
        </is>
      </c>
      <c r="D76" t="inlineStr">
        <is>
          <t>Elephant Yam(Suran)/Amorphophallus</t>
        </is>
      </c>
      <c r="E76" s="35" t="n">
        <v>5000</v>
      </c>
      <c r="F76" s="35" t="n">
        <v>5000</v>
      </c>
      <c r="G76" s="35" t="n">
        <v>5000</v>
      </c>
      <c r="H76" t="inlineStr">
        <is>
          <t>24/07/2026</t>
        </is>
      </c>
    </row>
    <row r="77">
      <c r="B77" t="inlineStr">
        <is>
          <t>Dindigul</t>
        </is>
      </c>
      <c r="C77" t="inlineStr">
        <is>
          <t>Chinnalapatti(UzhavarSandhai</t>
        </is>
      </c>
      <c r="D77" t="inlineStr">
        <is>
          <t>Elephant Yam(Suran)/Amorphophallus</t>
        </is>
      </c>
      <c r="E77" s="35" t="n">
        <v>5000</v>
      </c>
      <c r="F77" s="35" t="n">
        <v>6000</v>
      </c>
      <c r="G77" s="35" t="n">
        <v>5500</v>
      </c>
      <c r="H77" t="inlineStr">
        <is>
          <t>24/07/2026</t>
        </is>
      </c>
    </row>
    <row r="78">
      <c r="B78" t="inlineStr">
        <is>
          <t>Dindigul</t>
        </is>
      </c>
      <c r="C78" t="inlineStr">
        <is>
          <t>Dindigul(UzhavarSandhai)</t>
        </is>
      </c>
      <c r="D78" t="inlineStr">
        <is>
          <t>Garlic / Garlic</t>
        </is>
      </c>
      <c r="E78" s="35" t="n">
        <v>16000</v>
      </c>
      <c r="F78" s="35" t="n">
        <v>25000</v>
      </c>
      <c r="G78" s="35" t="n">
        <v>20500</v>
      </c>
      <c r="H78" t="inlineStr">
        <is>
          <t>24/07/2026</t>
        </is>
      </c>
    </row>
    <row r="79">
      <c r="B79" t="inlineStr">
        <is>
          <t>Dindigul</t>
        </is>
      </c>
      <c r="C79" t="inlineStr">
        <is>
          <t>Chinnalapatti(UzhavarSandhai</t>
        </is>
      </c>
      <c r="D79" t="inlineStr">
        <is>
          <t>Ginger(Green) / Green Ginger</t>
        </is>
      </c>
      <c r="E79" s="35" t="n">
        <v>15000</v>
      </c>
      <c r="F79" s="35" t="n">
        <v>18000</v>
      </c>
      <c r="G79" s="35" t="n">
        <v>16500</v>
      </c>
      <c r="H79" t="inlineStr">
        <is>
          <t>24/07/2026</t>
        </is>
      </c>
    </row>
    <row r="80">
      <c r="B80" t="inlineStr">
        <is>
          <t>Dindigul</t>
        </is>
      </c>
      <c r="C80" t="inlineStr">
        <is>
          <t>Dindigul(UzhavarSandhai)</t>
        </is>
      </c>
      <c r="D80" t="inlineStr">
        <is>
          <t>Ginger(Green) / Green Ginger</t>
        </is>
      </c>
      <c r="E80" s="35" t="n">
        <v>15000</v>
      </c>
      <c r="F80" s="35" t="n">
        <v>18000</v>
      </c>
      <c r="G80" s="35" t="n">
        <v>16500</v>
      </c>
      <c r="H80" t="inlineStr">
        <is>
          <t>24/07/2026</t>
        </is>
      </c>
    </row>
    <row r="81">
      <c r="B81" t="inlineStr">
        <is>
          <t>Dindigul</t>
        </is>
      </c>
      <c r="C81" t="inlineStr">
        <is>
          <t>Chinnalapatti(UzhavarSandhai</t>
        </is>
      </c>
      <c r="D81" t="inlineStr">
        <is>
          <t>Green Chilli / Green Chilly</t>
        </is>
      </c>
      <c r="E81" s="35" t="n">
        <v>5000</v>
      </c>
      <c r="F81" s="35" t="n">
        <v>6000</v>
      </c>
      <c r="G81" s="35" t="n">
        <v>5500</v>
      </c>
      <c r="H81" t="inlineStr">
        <is>
          <t>24/07/2026</t>
        </is>
      </c>
    </row>
    <row r="82">
      <c r="B82" t="inlineStr">
        <is>
          <t>Dindigul</t>
        </is>
      </c>
      <c r="C82" t="inlineStr">
        <is>
          <t>Dindigul(UzhavarSandhai)</t>
        </is>
      </c>
      <c r="D82" t="inlineStr">
        <is>
          <t>Green Chilli / Green Chilly</t>
        </is>
      </c>
      <c r="E82" s="35" t="n">
        <v>5000</v>
      </c>
      <c r="F82" s="35" t="n">
        <v>7000</v>
      </c>
      <c r="G82" s="35" t="n">
        <v>6000</v>
      </c>
      <c r="H82" t="inlineStr">
        <is>
          <t>24/07/2026</t>
        </is>
      </c>
    </row>
    <row r="83">
      <c r="B83" t="inlineStr">
        <is>
          <t>Dindigul</t>
        </is>
      </c>
      <c r="C83" t="inlineStr">
        <is>
          <t>Dindigul(UzhavarSandhai)</t>
        </is>
      </c>
      <c r="D83" t="inlineStr">
        <is>
          <t>Green Peas / Green Peas</t>
        </is>
      </c>
      <c r="E83" s="35" t="n">
        <v>16000</v>
      </c>
      <c r="F83" s="35" t="n">
        <v>18000</v>
      </c>
      <c r="G83" s="35" t="n">
        <v>17000</v>
      </c>
      <c r="H83" t="inlineStr">
        <is>
          <t>24/07/2026</t>
        </is>
      </c>
    </row>
    <row r="84">
      <c r="B84" t="inlineStr">
        <is>
          <t>Dindigul</t>
        </is>
      </c>
      <c r="C84" t="inlineStr">
        <is>
          <t>Chinnalapatti(UzhavarSandhai</t>
        </is>
      </c>
      <c r="D84" t="inlineStr">
        <is>
          <t xml:space="preserve">Indian Beans(Seam) / Indian Beans </t>
        </is>
      </c>
      <c r="E84" s="35" t="n">
        <v>5600</v>
      </c>
      <c r="F84" s="35" t="n">
        <v>6000</v>
      </c>
      <c r="G84" s="35" t="n">
        <v>5800</v>
      </c>
      <c r="H84" t="inlineStr">
        <is>
          <t>24/07/2026</t>
        </is>
      </c>
    </row>
    <row r="85">
      <c r="B85" t="inlineStr">
        <is>
          <t>Dindigul</t>
        </is>
      </c>
      <c r="C85" t="inlineStr">
        <is>
          <t>Dindigul(UzhavarSandhai)</t>
        </is>
      </c>
      <c r="D85" t="inlineStr">
        <is>
          <t xml:space="preserve">Indian Beans(Seam) / Indian Beans </t>
        </is>
      </c>
      <c r="E85" s="35" t="n">
        <v>5000</v>
      </c>
      <c r="F85" s="35" t="n">
        <v>6000</v>
      </c>
      <c r="G85" s="35" t="n">
        <v>5500</v>
      </c>
      <c r="H85" t="inlineStr">
        <is>
          <t>24/07/2026</t>
        </is>
      </c>
    </row>
    <row r="86">
      <c r="B86" t="inlineStr">
        <is>
          <t>Dindigul</t>
        </is>
      </c>
      <c r="C86" t="inlineStr">
        <is>
          <t>Dindigul(UzhavarSandhai)</t>
        </is>
      </c>
      <c r="D86" t="inlineStr">
        <is>
          <t>Knool Khol / Knool Khol</t>
        </is>
      </c>
      <c r="E86" s="35" t="n">
        <v>5000</v>
      </c>
      <c r="F86" s="35" t="n">
        <v>6000</v>
      </c>
      <c r="G86" s="35" t="n">
        <v>5500</v>
      </c>
      <c r="H86" t="inlineStr">
        <is>
          <t>24/07/2026</t>
        </is>
      </c>
    </row>
    <row r="87">
      <c r="B87" t="inlineStr">
        <is>
          <t>Dindigul</t>
        </is>
      </c>
      <c r="C87" t="inlineStr">
        <is>
          <t>Chinnalapatti(UzhavarSandhai</t>
        </is>
      </c>
      <c r="D87" t="inlineStr">
        <is>
          <t>Lemon / Lemon</t>
        </is>
      </c>
      <c r="E87" s="35" t="n">
        <v>4000</v>
      </c>
      <c r="F87" s="35" t="n">
        <v>5000</v>
      </c>
      <c r="G87" s="35" t="n">
        <v>4500</v>
      </c>
      <c r="H87" t="inlineStr">
        <is>
          <t>24/07/2026</t>
        </is>
      </c>
    </row>
    <row r="88">
      <c r="B88" t="inlineStr">
        <is>
          <t>Dindigul</t>
        </is>
      </c>
      <c r="C88" t="inlineStr">
        <is>
          <t>Dindigul(UzhavarSandhai)</t>
        </is>
      </c>
      <c r="D88" t="inlineStr">
        <is>
          <t>Lime / Lime</t>
        </is>
      </c>
      <c r="E88" s="35" t="n">
        <v>14000</v>
      </c>
      <c r="F88" s="35" t="n">
        <v>15000</v>
      </c>
      <c r="G88" s="35" t="n">
        <v>14500</v>
      </c>
      <c r="H88" t="inlineStr">
        <is>
          <t>24/07/2026</t>
        </is>
      </c>
    </row>
    <row r="89">
      <c r="B89" t="inlineStr">
        <is>
          <t>Dindigul</t>
        </is>
      </c>
      <c r="C89" t="inlineStr">
        <is>
          <t>Chinnalapatti(UzhavarSandhai</t>
        </is>
      </c>
      <c r="D89" t="inlineStr">
        <is>
          <t>Mango / Safeda</t>
        </is>
      </c>
      <c r="E89" s="35" t="n">
        <v>4000</v>
      </c>
      <c r="F89" s="35" t="n">
        <v>5000</v>
      </c>
      <c r="G89" s="35" t="n">
        <v>4500</v>
      </c>
      <c r="H89" t="inlineStr">
        <is>
          <t>24/07/2026</t>
        </is>
      </c>
    </row>
    <row r="90">
      <c r="B90" t="inlineStr">
        <is>
          <t>Dindigul</t>
        </is>
      </c>
      <c r="C90" t="inlineStr">
        <is>
          <t>Dindigul(UzhavarSandhai)</t>
        </is>
      </c>
      <c r="D90" t="inlineStr">
        <is>
          <t>Mango(Raw-Ripe) / Mango - Raw-Ripe</t>
        </is>
      </c>
      <c r="E90" s="35" t="n">
        <v>4000</v>
      </c>
      <c r="F90" s="35" t="n">
        <v>5000</v>
      </c>
      <c r="G90" s="35" t="n">
        <v>4500</v>
      </c>
      <c r="H90" t="inlineStr">
        <is>
          <t>24/07/2026</t>
        </is>
      </c>
    </row>
    <row r="91">
      <c r="B91" t="inlineStr">
        <is>
          <t>Dindigul</t>
        </is>
      </c>
      <c r="C91" t="inlineStr">
        <is>
          <t>Chinnalapatti(UzhavarSandhai</t>
        </is>
      </c>
      <c r="D91" t="inlineStr">
        <is>
          <t>Mango(Raw-Ripe) / Mango - Raw-Ripe</t>
        </is>
      </c>
      <c r="E91" s="35" t="n">
        <v>3000</v>
      </c>
      <c r="F91" s="35" t="n">
        <v>5000</v>
      </c>
      <c r="G91" s="35" t="n">
        <v>4000</v>
      </c>
      <c r="H91" t="inlineStr">
        <is>
          <t>24/07/2026</t>
        </is>
      </c>
    </row>
    <row r="92">
      <c r="B92" t="inlineStr">
        <is>
          <t>Dindigul</t>
        </is>
      </c>
      <c r="C92" t="inlineStr">
        <is>
          <t>Dindigul(UzhavarSandhai)</t>
        </is>
      </c>
      <c r="D92" t="inlineStr">
        <is>
          <t>Mashrooms / Mashrooms</t>
        </is>
      </c>
      <c r="E92" s="35" t="n">
        <v>18000</v>
      </c>
      <c r="F92" s="35" t="n">
        <v>22500</v>
      </c>
      <c r="G92" s="35" t="n">
        <v>20250</v>
      </c>
      <c r="H92" t="inlineStr">
        <is>
          <t>24/07/2026</t>
        </is>
      </c>
    </row>
    <row r="93">
      <c r="B93" t="inlineStr">
        <is>
          <t>Dindigul</t>
        </is>
      </c>
      <c r="C93" t="inlineStr">
        <is>
          <t>Dindigul(UzhavarSandhai)</t>
        </is>
      </c>
      <c r="D93" t="inlineStr">
        <is>
          <t>Mint(Pudina) / Mint(Pudina)</t>
        </is>
      </c>
      <c r="E93" s="35" t="n">
        <v>4000</v>
      </c>
      <c r="F93" s="35" t="n">
        <v>5000</v>
      </c>
      <c r="G93" s="35" t="n">
        <v>4500</v>
      </c>
      <c r="H93" t="inlineStr">
        <is>
          <t>24/07/2026</t>
        </is>
      </c>
    </row>
    <row r="94">
      <c r="B94" t="inlineStr">
        <is>
          <t>Dindigul</t>
        </is>
      </c>
      <c r="C94" t="inlineStr">
        <is>
          <t>Chinnalapatti(UzhavarSandhai</t>
        </is>
      </c>
      <c r="D94" t="inlineStr">
        <is>
          <t>Mint(Pudina) / Mint(Pudina)</t>
        </is>
      </c>
      <c r="E94" s="35" t="n">
        <v>4500</v>
      </c>
      <c r="F94" s="35" t="n">
        <v>5000</v>
      </c>
      <c r="G94" s="35" t="n">
        <v>4750</v>
      </c>
      <c r="H94" t="inlineStr">
        <is>
          <t>24/07/2026</t>
        </is>
      </c>
    </row>
    <row r="95">
      <c r="B95" t="inlineStr">
        <is>
          <t>Dindigul</t>
        </is>
      </c>
      <c r="C95" t="inlineStr">
        <is>
          <t>Chinnalapatti(UzhavarSandhai</t>
        </is>
      </c>
      <c r="D95" t="inlineStr">
        <is>
          <t>Papaya / Papaya</t>
        </is>
      </c>
      <c r="E95" s="35" t="n">
        <v>3600</v>
      </c>
      <c r="F95" s="35" t="n">
        <v>4000</v>
      </c>
      <c r="G95" s="35" t="n">
        <v>3800</v>
      </c>
      <c r="H95" t="inlineStr">
        <is>
          <t>24/07/2026</t>
        </is>
      </c>
    </row>
    <row r="96">
      <c r="B96" t="inlineStr">
        <is>
          <t>Dindigul</t>
        </is>
      </c>
      <c r="C96" t="inlineStr">
        <is>
          <t>Chinnalapatti(UzhavarSandhai</t>
        </is>
      </c>
      <c r="D96" t="inlineStr">
        <is>
          <t>Potato / Red Nanital</t>
        </is>
      </c>
      <c r="E96" s="35" t="n">
        <v>4000</v>
      </c>
      <c r="F96" s="35" t="n">
        <v>6000</v>
      </c>
      <c r="G96" s="35" t="n">
        <v>5000</v>
      </c>
      <c r="H96" t="inlineStr">
        <is>
          <t>24/07/2026</t>
        </is>
      </c>
    </row>
    <row r="97">
      <c r="B97" t="inlineStr">
        <is>
          <t>Dindigul</t>
        </is>
      </c>
      <c r="C97" t="inlineStr">
        <is>
          <t>Dindigul(UzhavarSandhai)</t>
        </is>
      </c>
      <c r="D97" t="inlineStr">
        <is>
          <t>Potato / Red Nanital</t>
        </is>
      </c>
      <c r="E97" s="35" t="n">
        <v>4000</v>
      </c>
      <c r="F97" s="35" t="n">
        <v>6000</v>
      </c>
      <c r="G97" s="35" t="n">
        <v>5000</v>
      </c>
      <c r="H97" t="inlineStr">
        <is>
          <t>24/07/2026</t>
        </is>
      </c>
    </row>
    <row r="98">
      <c r="B98" t="inlineStr">
        <is>
          <t>Dindigul</t>
        </is>
      </c>
      <c r="C98" t="inlineStr">
        <is>
          <t>Chinnalapatti(UzhavarSandhai</t>
        </is>
      </c>
      <c r="D98" t="inlineStr">
        <is>
          <t>Pumpkin / Pumpkin</t>
        </is>
      </c>
      <c r="E98" s="35" t="n">
        <v>1600</v>
      </c>
      <c r="F98" s="35" t="n">
        <v>2000</v>
      </c>
      <c r="G98" s="35" t="n">
        <v>1800</v>
      </c>
      <c r="H98" t="inlineStr">
        <is>
          <t>24/07/2026</t>
        </is>
      </c>
    </row>
    <row r="99">
      <c r="B99" t="inlineStr">
        <is>
          <t>Dindigul</t>
        </is>
      </c>
      <c r="C99" t="inlineStr">
        <is>
          <t>Dindigul(UzhavarSandhai)</t>
        </is>
      </c>
      <c r="D99" t="inlineStr">
        <is>
          <t>Pumpkin / Pumpkin</t>
        </is>
      </c>
      <c r="E99" s="35" t="n">
        <v>2000</v>
      </c>
      <c r="F99" s="35" t="n">
        <v>2500</v>
      </c>
      <c r="G99" s="35" t="n">
        <v>2250</v>
      </c>
      <c r="H99" t="inlineStr">
        <is>
          <t>24/07/2026</t>
        </is>
      </c>
    </row>
    <row r="100">
      <c r="B100" t="inlineStr">
        <is>
          <t>Dindigul</t>
        </is>
      </c>
      <c r="C100" t="inlineStr">
        <is>
          <t>Chinnalapatti(UzhavarSandhai</t>
        </is>
      </c>
      <c r="D100" t="inlineStr">
        <is>
          <t>Raddish / Raddish</t>
        </is>
      </c>
      <c r="E100" s="35" t="n">
        <v>3600</v>
      </c>
      <c r="F100" s="35" t="n">
        <v>4000</v>
      </c>
      <c r="G100" s="35" t="n">
        <v>3800</v>
      </c>
      <c r="H100" t="inlineStr">
        <is>
          <t>24/07/2026</t>
        </is>
      </c>
    </row>
    <row r="101">
      <c r="B101" t="inlineStr">
        <is>
          <t>Dindigul</t>
        </is>
      </c>
      <c r="C101" t="inlineStr">
        <is>
          <t>Dindigul(UzhavarSandhai)</t>
        </is>
      </c>
      <c r="D101" t="inlineStr">
        <is>
          <t>Raddish / Raddish</t>
        </is>
      </c>
      <c r="E101" s="35" t="n">
        <v>3400</v>
      </c>
      <c r="F101" s="35" t="n">
        <v>4000</v>
      </c>
      <c r="G101" s="35" t="n">
        <v>3700</v>
      </c>
      <c r="H101" t="inlineStr">
        <is>
          <t>24/07/2026</t>
        </is>
      </c>
    </row>
    <row r="102">
      <c r="B102" t="inlineStr">
        <is>
          <t>Dindigul</t>
        </is>
      </c>
      <c r="C102" t="inlineStr">
        <is>
          <t>Chinnalapatti(UzhavarSandhai</t>
        </is>
      </c>
      <c r="D102" t="inlineStr">
        <is>
          <t>Ridgeguard(Tori) / Ridgeguard(Tori</t>
        </is>
      </c>
      <c r="E102" s="35" t="n">
        <v>7000</v>
      </c>
      <c r="F102" s="35" t="n">
        <v>8000</v>
      </c>
      <c r="G102" s="35" t="n">
        <v>7500</v>
      </c>
      <c r="H102" t="inlineStr">
        <is>
          <t>24/07/2026</t>
        </is>
      </c>
    </row>
    <row r="103">
      <c r="B103" t="inlineStr">
        <is>
          <t>Dindigul</t>
        </is>
      </c>
      <c r="C103" t="inlineStr">
        <is>
          <t>Chinnalapatti(UzhavarSandhai</t>
        </is>
      </c>
      <c r="D103" t="inlineStr">
        <is>
          <t>Snakeguard / Snakeguard</t>
        </is>
      </c>
      <c r="E103" s="35" t="n">
        <v>4000</v>
      </c>
      <c r="F103" s="35" t="n">
        <v>4800</v>
      </c>
      <c r="G103" s="35" t="n">
        <v>4400</v>
      </c>
      <c r="H103" t="inlineStr">
        <is>
          <t>24/07/2026</t>
        </is>
      </c>
    </row>
    <row r="104">
      <c r="B104" t="inlineStr">
        <is>
          <t>Dindigul</t>
        </is>
      </c>
      <c r="C104" t="inlineStr">
        <is>
          <t>Dindigul(UzhavarSandhai)</t>
        </is>
      </c>
      <c r="D104" t="inlineStr">
        <is>
          <t>Thondekai / Thondekai</t>
        </is>
      </c>
      <c r="E104" s="35" t="n">
        <v>4000</v>
      </c>
      <c r="F104" s="35" t="n">
        <v>5000</v>
      </c>
      <c r="G104" s="35" t="n">
        <v>4500</v>
      </c>
      <c r="H104" t="inlineStr">
        <is>
          <t>24/07/2026</t>
        </is>
      </c>
    </row>
    <row r="105">
      <c r="B105" t="inlineStr">
        <is>
          <t>Dindigul</t>
        </is>
      </c>
      <c r="C105" t="inlineStr">
        <is>
          <t>Chinnalapatti(UzhavarSandhai</t>
        </is>
      </c>
      <c r="D105" t="inlineStr">
        <is>
          <t>Thondekai / Thondekai</t>
        </is>
      </c>
      <c r="E105" s="35" t="n">
        <v>4000</v>
      </c>
      <c r="F105" s="35" t="n">
        <v>5000</v>
      </c>
      <c r="G105" s="35" t="n">
        <v>4500</v>
      </c>
      <c r="H105" t="inlineStr">
        <is>
          <t>24/07/2026</t>
        </is>
      </c>
    </row>
    <row r="106">
      <c r="B106" t="inlineStr">
        <is>
          <t>Dindigul</t>
        </is>
      </c>
      <c r="C106" t="inlineStr">
        <is>
          <t>Chinnalapatti(UzhavarSandhai</t>
        </is>
      </c>
      <c r="D106" t="inlineStr">
        <is>
          <t>Tomato / Deshi</t>
        </is>
      </c>
      <c r="E106" s="35" t="n">
        <v>1500</v>
      </c>
      <c r="F106" s="35" t="n">
        <v>1800</v>
      </c>
      <c r="G106" s="35" t="n">
        <v>1650</v>
      </c>
      <c r="H106" t="inlineStr">
        <is>
          <t>24/07/2026</t>
        </is>
      </c>
    </row>
    <row r="107">
      <c r="B107" t="inlineStr">
        <is>
          <t>Dindigul</t>
        </is>
      </c>
      <c r="C107" t="inlineStr">
        <is>
          <t>Dindigul(UzhavarSandhai)</t>
        </is>
      </c>
      <c r="D107" t="inlineStr">
        <is>
          <t>Yam(Ratalu) / Yam (Ratalu)</t>
        </is>
      </c>
      <c r="E107" s="35" t="n">
        <v>8000</v>
      </c>
      <c r="F107" s="35" t="n">
        <v>10000</v>
      </c>
      <c r="G107" s="35" t="n">
        <v>9000</v>
      </c>
      <c r="H107" t="inlineStr">
        <is>
          <t>24/07/2026</t>
        </is>
      </c>
    </row>
    <row r="108">
      <c r="B108" t="inlineStr">
        <is>
          <t>Dindigul</t>
        </is>
      </c>
      <c r="C108" t="inlineStr">
        <is>
          <t>Chinnalapatti(UzhavarSandhai</t>
        </is>
      </c>
      <c r="D108" t="inlineStr">
        <is>
          <t>Yam(Ratalu) / Yam (Ratalu)</t>
        </is>
      </c>
      <c r="E108" s="35" t="n">
        <v>10000</v>
      </c>
      <c r="F108" s="35" t="n">
        <v>10000</v>
      </c>
      <c r="G108" s="35" t="n">
        <v>10000</v>
      </c>
      <c r="H108" t="inlineStr">
        <is>
          <t>24/07/2026</t>
        </is>
      </c>
    </row>
    <row r="109">
      <c r="B109" t="inlineStr">
        <is>
          <t>Madurai</t>
        </is>
      </c>
      <c r="C109" t="inlineStr">
        <is>
          <t>Thirumangalam(UzhavarSandhai</t>
        </is>
      </c>
      <c r="D109" t="inlineStr">
        <is>
          <t>Amaranthus / Amaranthus</t>
        </is>
      </c>
      <c r="E109" s="35" t="n">
        <v>3000</v>
      </c>
      <c r="F109" s="35" t="n">
        <v>3600</v>
      </c>
      <c r="G109" s="35" t="n">
        <v>3300</v>
      </c>
      <c r="H109" t="inlineStr">
        <is>
          <t>24/07/2026</t>
        </is>
      </c>
    </row>
    <row r="110">
      <c r="B110" t="inlineStr">
        <is>
          <t>Madurai</t>
        </is>
      </c>
      <c r="C110" t="inlineStr">
        <is>
          <t>Chokkikulam(UzhavarSandhai)</t>
        </is>
      </c>
      <c r="D110" t="inlineStr">
        <is>
          <t>Amaranthus / Amaranthus</t>
        </is>
      </c>
      <c r="E110" s="35" t="n">
        <v>3000</v>
      </c>
      <c r="F110" s="35" t="n">
        <v>3600</v>
      </c>
      <c r="G110" s="35" t="n">
        <v>3300</v>
      </c>
      <c r="H110" t="inlineStr">
        <is>
          <t>24/07/2026</t>
        </is>
      </c>
    </row>
    <row r="111">
      <c r="B111" t="inlineStr">
        <is>
          <t>Madurai</t>
        </is>
      </c>
      <c r="C111" t="inlineStr">
        <is>
          <t>Anna nagar(UzhavarSandhai)</t>
        </is>
      </c>
      <c r="D111" t="inlineStr">
        <is>
          <t>Amla(Nelli Kai) / Amla</t>
        </is>
      </c>
      <c r="E111" s="35" t="n">
        <v>5500</v>
      </c>
      <c r="F111" s="35" t="n">
        <v>6500</v>
      </c>
      <c r="G111" s="35" t="n">
        <v>6000</v>
      </c>
      <c r="H111" t="inlineStr">
        <is>
          <t>24/07/2026</t>
        </is>
      </c>
    </row>
    <row r="112">
      <c r="B112" t="inlineStr">
        <is>
          <t>Madurai</t>
        </is>
      </c>
      <c r="C112" t="inlineStr">
        <is>
          <t>Thirumangalam(UzhavarSandhai</t>
        </is>
      </c>
      <c r="D112" t="inlineStr">
        <is>
          <t>Amla(Nelli Kai) / Amla</t>
        </is>
      </c>
      <c r="E112" s="35" t="n">
        <v>6500</v>
      </c>
      <c r="F112" s="35" t="n">
        <v>7000</v>
      </c>
      <c r="G112" s="35" t="n">
        <v>6750</v>
      </c>
      <c r="H112" t="inlineStr">
        <is>
          <t>24/07/2026</t>
        </is>
      </c>
    </row>
    <row r="113">
      <c r="B113" t="inlineStr">
        <is>
          <t>Madurai</t>
        </is>
      </c>
      <c r="C113" t="inlineStr">
        <is>
          <t>Palanganatham(UzhavarSandhai</t>
        </is>
      </c>
      <c r="D113" t="inlineStr">
        <is>
          <t>Amla(Nelli Kai) / Amla</t>
        </is>
      </c>
      <c r="E113" s="35" t="n">
        <v>6500</v>
      </c>
      <c r="F113" s="35" t="n">
        <v>7000</v>
      </c>
      <c r="G113" s="35" t="n">
        <v>6750</v>
      </c>
      <c r="H113" t="inlineStr">
        <is>
          <t>24/07/2026</t>
        </is>
      </c>
    </row>
    <row r="114">
      <c r="B114" t="inlineStr">
        <is>
          <t>Madurai</t>
        </is>
      </c>
      <c r="C114" t="inlineStr">
        <is>
          <t>Anaiyur(UzhavarSandhai)</t>
        </is>
      </c>
      <c r="D114" t="inlineStr">
        <is>
          <t>Apple / American</t>
        </is>
      </c>
      <c r="E114" s="35" t="n">
        <v>20000</v>
      </c>
      <c r="F114" s="35" t="n">
        <v>27000</v>
      </c>
      <c r="G114" s="35" t="n">
        <v>23500</v>
      </c>
      <c r="H114" t="inlineStr">
        <is>
          <t>24/07/2026</t>
        </is>
      </c>
    </row>
    <row r="115">
      <c r="B115" t="inlineStr">
        <is>
          <t>Madurai</t>
        </is>
      </c>
      <c r="C115" t="inlineStr">
        <is>
          <t>Palanganatham(UzhavarSandhai</t>
        </is>
      </c>
      <c r="D115" t="inlineStr">
        <is>
          <t>Apple / American</t>
        </is>
      </c>
      <c r="E115" s="35" t="n">
        <v>20000</v>
      </c>
      <c r="F115" s="35" t="n">
        <v>27000</v>
      </c>
      <c r="G115" s="35" t="n">
        <v>23500</v>
      </c>
      <c r="H115" t="inlineStr">
        <is>
          <t>24/07/2026</t>
        </is>
      </c>
    </row>
    <row r="116">
      <c r="B116" t="inlineStr">
        <is>
          <t>Madurai</t>
        </is>
      </c>
      <c r="C116" t="inlineStr">
        <is>
          <t>Anna nagar(UzhavarSandhai)</t>
        </is>
      </c>
      <c r="D116" t="inlineStr">
        <is>
          <t>Apple / American</t>
        </is>
      </c>
      <c r="E116" s="35" t="n">
        <v>22000</v>
      </c>
      <c r="F116" s="35" t="n">
        <v>22000</v>
      </c>
      <c r="G116" s="35" t="n">
        <v>22000</v>
      </c>
      <c r="H116" t="inlineStr">
        <is>
          <t>24/07/2026</t>
        </is>
      </c>
    </row>
    <row r="117">
      <c r="B117" t="inlineStr">
        <is>
          <t>Madurai</t>
        </is>
      </c>
      <c r="C117" t="inlineStr">
        <is>
          <t>Anaiyur(UzhavarSandhai)</t>
        </is>
      </c>
      <c r="D117" t="inlineStr">
        <is>
          <t>Ashgourd / Gouard</t>
        </is>
      </c>
      <c r="E117" s="35" t="n">
        <v>2000</v>
      </c>
      <c r="F117" s="35" t="n">
        <v>2600</v>
      </c>
      <c r="G117" s="35" t="n">
        <v>2300</v>
      </c>
      <c r="H117" t="inlineStr">
        <is>
          <t>24/07/2026</t>
        </is>
      </c>
    </row>
    <row r="118">
      <c r="B118" t="inlineStr">
        <is>
          <t>Madurai</t>
        </is>
      </c>
      <c r="C118" t="inlineStr">
        <is>
          <t>Thirumangalam(UzhavarSandhai</t>
        </is>
      </c>
      <c r="D118" t="inlineStr">
        <is>
          <t>Ashgourd / Gouard</t>
        </is>
      </c>
      <c r="E118" s="35" t="n">
        <v>2400</v>
      </c>
      <c r="F118" s="35" t="n">
        <v>2600</v>
      </c>
      <c r="G118" s="35" t="n">
        <v>2500</v>
      </c>
      <c r="H118" t="inlineStr">
        <is>
          <t>24/07/2026</t>
        </is>
      </c>
    </row>
    <row r="119">
      <c r="B119" t="inlineStr">
        <is>
          <t>Madurai</t>
        </is>
      </c>
      <c r="C119" t="inlineStr">
        <is>
          <t>Melur(UzhavarSandhai)</t>
        </is>
      </c>
      <c r="D119" t="inlineStr">
        <is>
          <t>Ashgourd / Gouard</t>
        </is>
      </c>
      <c r="E119" s="35" t="n">
        <v>2400</v>
      </c>
      <c r="F119" s="35" t="n">
        <v>2600</v>
      </c>
      <c r="G119" s="35" t="n">
        <v>2500</v>
      </c>
      <c r="H119" t="inlineStr">
        <is>
          <t>24/07/2026</t>
        </is>
      </c>
    </row>
    <row r="120">
      <c r="B120" t="inlineStr">
        <is>
          <t>Madurai</t>
        </is>
      </c>
      <c r="C120" t="inlineStr">
        <is>
          <t>Melur(UzhavarSandhai)</t>
        </is>
      </c>
      <c r="D120" t="inlineStr">
        <is>
          <t>Banana / Besrai</t>
        </is>
      </c>
      <c r="E120" s="35" t="n">
        <v>4000</v>
      </c>
      <c r="F120" s="35" t="n">
        <v>5000</v>
      </c>
      <c r="G120" s="35" t="n">
        <v>4500</v>
      </c>
      <c r="H120" t="inlineStr">
        <is>
          <t>24/07/2026</t>
        </is>
      </c>
    </row>
    <row r="121">
      <c r="B121" t="inlineStr">
        <is>
          <t>Madurai</t>
        </is>
      </c>
      <c r="C121" t="inlineStr">
        <is>
          <t>Anaiyur(UzhavarSandhai)</t>
        </is>
      </c>
      <c r="D121" t="inlineStr">
        <is>
          <t>Banana - Green / Banana - Green</t>
        </is>
      </c>
      <c r="E121" s="35" t="n">
        <v>2000</v>
      </c>
      <c r="F121" s="35" t="n">
        <v>2400</v>
      </c>
      <c r="G121" s="35" t="n">
        <v>2200</v>
      </c>
      <c r="H121" t="inlineStr">
        <is>
          <t>24/07/2026</t>
        </is>
      </c>
    </row>
    <row r="122">
      <c r="B122" t="inlineStr">
        <is>
          <t>Madurai</t>
        </is>
      </c>
      <c r="C122" t="inlineStr">
        <is>
          <t>Chokkikulam(UzhavarSandhai)</t>
        </is>
      </c>
      <c r="D122" t="inlineStr">
        <is>
          <t>Banana - Green / Banana - Green</t>
        </is>
      </c>
      <c r="E122" s="35" t="n">
        <v>2000</v>
      </c>
      <c r="F122" s="35" t="n">
        <v>2400</v>
      </c>
      <c r="G122" s="35" t="n">
        <v>2200</v>
      </c>
      <c r="H122" t="inlineStr">
        <is>
          <t>24/07/2026</t>
        </is>
      </c>
    </row>
    <row r="123">
      <c r="B123" t="inlineStr">
        <is>
          <t>Madurai</t>
        </is>
      </c>
      <c r="C123" t="inlineStr">
        <is>
          <t>Chokkikulam(UzhavarSandhai)</t>
        </is>
      </c>
      <c r="D123" t="inlineStr">
        <is>
          <t>Beetroot / Beetroot</t>
        </is>
      </c>
      <c r="E123" s="35" t="n">
        <v>4000</v>
      </c>
      <c r="F123" s="35" t="n">
        <v>6000</v>
      </c>
      <c r="G123" s="35" t="n">
        <v>5000</v>
      </c>
      <c r="H123" t="inlineStr">
        <is>
          <t>24/07/2026</t>
        </is>
      </c>
    </row>
    <row r="124">
      <c r="B124" t="inlineStr">
        <is>
          <t>Madurai</t>
        </is>
      </c>
      <c r="C124" t="inlineStr">
        <is>
          <t>Anaiyur(UzhavarSandhai)</t>
        </is>
      </c>
      <c r="D124" t="inlineStr">
        <is>
          <t>Betal Leaves / Mysore</t>
        </is>
      </c>
      <c r="E124" s="35" t="n">
        <v>18000</v>
      </c>
      <c r="F124" s="35" t="n">
        <v>24000</v>
      </c>
      <c r="G124" s="35" t="n">
        <v>21000</v>
      </c>
      <c r="H124" t="inlineStr">
        <is>
          <t>24/07/2026</t>
        </is>
      </c>
    </row>
    <row r="125">
      <c r="B125" t="inlineStr">
        <is>
          <t>Madurai</t>
        </is>
      </c>
      <c r="C125" t="inlineStr">
        <is>
          <t>Chokkikulam(UzhavarSandhai)</t>
        </is>
      </c>
      <c r="D125" t="inlineStr">
        <is>
          <t>Bhindi(Ladies Finger) / Bhindi</t>
        </is>
      </c>
      <c r="E125" s="35" t="n">
        <v>3000</v>
      </c>
      <c r="F125" s="35" t="n">
        <v>3600</v>
      </c>
      <c r="G125" s="35" t="n">
        <v>3300</v>
      </c>
      <c r="H125" t="inlineStr">
        <is>
          <t>24/07/2026</t>
        </is>
      </c>
    </row>
    <row r="126">
      <c r="B126" t="inlineStr">
        <is>
          <t>Madurai</t>
        </is>
      </c>
      <c r="C126" t="inlineStr">
        <is>
          <t>Anna nagar(UzhavarSandhai)</t>
        </is>
      </c>
      <c r="D126" t="inlineStr">
        <is>
          <t>Bhindi(Ladies Finger) / Bhindi</t>
        </is>
      </c>
      <c r="E126" s="35" t="n">
        <v>3800</v>
      </c>
      <c r="F126" s="35" t="n">
        <v>3800</v>
      </c>
      <c r="G126" s="35" t="n">
        <v>3800</v>
      </c>
      <c r="H126" t="inlineStr">
        <is>
          <t>24/07/2026</t>
        </is>
      </c>
    </row>
    <row r="127">
      <c r="B127" t="inlineStr">
        <is>
          <t>Madurai</t>
        </is>
      </c>
      <c r="C127" t="inlineStr">
        <is>
          <t>Anaiyur(UzhavarSandhai)</t>
        </is>
      </c>
      <c r="D127" t="inlineStr">
        <is>
          <t>Bitter gourd / Bitter Gourd</t>
        </is>
      </c>
      <c r="E127" s="35" t="n">
        <v>5000</v>
      </c>
      <c r="F127" s="35" t="n">
        <v>7500</v>
      </c>
      <c r="G127" s="35" t="n">
        <v>6250</v>
      </c>
      <c r="H127" t="inlineStr">
        <is>
          <t>24/07/2026</t>
        </is>
      </c>
    </row>
    <row r="128">
      <c r="B128" t="inlineStr">
        <is>
          <t>Madurai</t>
        </is>
      </c>
      <c r="C128" t="inlineStr">
        <is>
          <t>Thirumangalam(UzhavarSandhai</t>
        </is>
      </c>
      <c r="D128" t="inlineStr">
        <is>
          <t>Bitter gourd / Bitter Gourd</t>
        </is>
      </c>
      <c r="E128" s="35" t="n">
        <v>6000</v>
      </c>
      <c r="F128" s="35" t="n">
        <v>6500</v>
      </c>
      <c r="G128" s="35" t="n">
        <v>6250</v>
      </c>
      <c r="H128" t="inlineStr">
        <is>
          <t>24/07/2026</t>
        </is>
      </c>
    </row>
    <row r="129">
      <c r="B129" t="inlineStr">
        <is>
          <t>Madurai</t>
        </is>
      </c>
      <c r="C129" t="inlineStr">
        <is>
          <t>Anna nagar(UzhavarSandhai)</t>
        </is>
      </c>
      <c r="D129" t="inlineStr">
        <is>
          <t>Bitter gourd / Bitter Gourd</t>
        </is>
      </c>
      <c r="E129" s="35" t="n">
        <v>7600</v>
      </c>
      <c r="F129" s="35" t="n">
        <v>7600</v>
      </c>
      <c r="G129" s="35" t="n">
        <v>7600</v>
      </c>
      <c r="H129" t="inlineStr">
        <is>
          <t>24/07/2026</t>
        </is>
      </c>
    </row>
    <row r="130">
      <c r="B130" t="inlineStr">
        <is>
          <t>Madurai</t>
        </is>
      </c>
      <c r="C130" t="inlineStr">
        <is>
          <t>Anaiyur(UzhavarSandhai)</t>
        </is>
      </c>
      <c r="D130" t="inlineStr">
        <is>
          <t>Bottle gourd / Bottle Gourd</t>
        </is>
      </c>
      <c r="E130" s="35" t="n">
        <v>2600</v>
      </c>
      <c r="F130" s="35" t="n">
        <v>3200</v>
      </c>
      <c r="G130" s="35" t="n">
        <v>2900</v>
      </c>
      <c r="H130" t="inlineStr">
        <is>
          <t>24/07/2026</t>
        </is>
      </c>
    </row>
    <row r="131">
      <c r="B131" t="inlineStr">
        <is>
          <t>Madurai</t>
        </is>
      </c>
      <c r="C131" t="inlineStr">
        <is>
          <t>Palanganatham(UzhavarSandhai</t>
        </is>
      </c>
      <c r="D131" t="inlineStr">
        <is>
          <t>Bottle gourd / Bottle Gourd</t>
        </is>
      </c>
      <c r="E131" s="35" t="n">
        <v>2800</v>
      </c>
      <c r="F131" s="35" t="n">
        <v>3200</v>
      </c>
      <c r="G131" s="35" t="n">
        <v>3000</v>
      </c>
      <c r="H131" t="inlineStr">
        <is>
          <t>24/07/2026</t>
        </is>
      </c>
    </row>
    <row r="132">
      <c r="B132" t="inlineStr">
        <is>
          <t>Madurai</t>
        </is>
      </c>
      <c r="C132" t="inlineStr">
        <is>
          <t>Usilampatti(UzhavarSandhai)</t>
        </is>
      </c>
      <c r="D132" t="inlineStr">
        <is>
          <t>Brinjal / Round</t>
        </is>
      </c>
      <c r="E132" s="35" t="n">
        <v>5500</v>
      </c>
      <c r="F132" s="35" t="n">
        <v>6000</v>
      </c>
      <c r="G132" s="35" t="n">
        <v>5750</v>
      </c>
      <c r="H132" t="inlineStr">
        <is>
          <t>24/07/2026</t>
        </is>
      </c>
    </row>
    <row r="133">
      <c r="B133" t="inlineStr">
        <is>
          <t>Madurai</t>
        </is>
      </c>
      <c r="C133" t="inlineStr">
        <is>
          <t>Palanganatham(UzhavarSandhai</t>
        </is>
      </c>
      <c r="D133" t="inlineStr">
        <is>
          <t>Brinjal / Other</t>
        </is>
      </c>
      <c r="E133" s="35" t="n">
        <v>5500</v>
      </c>
      <c r="F133" s="35" t="n">
        <v>6000</v>
      </c>
      <c r="G133" s="35" t="n">
        <v>5750</v>
      </c>
      <c r="H133" t="inlineStr">
        <is>
          <t>24/07/2026</t>
        </is>
      </c>
    </row>
    <row r="134">
      <c r="B134" t="inlineStr">
        <is>
          <t>Madurai</t>
        </is>
      </c>
      <c r="C134" t="inlineStr">
        <is>
          <t>Anaiyur(UzhavarSandhai)</t>
        </is>
      </c>
      <c r="D134" t="inlineStr">
        <is>
          <t>Brinjal / Round</t>
        </is>
      </c>
      <c r="E134" s="35" t="n">
        <v>5000</v>
      </c>
      <c r="F134" s="35" t="n">
        <v>6000</v>
      </c>
      <c r="G134" s="35" t="n">
        <v>5500</v>
      </c>
      <c r="H134" t="inlineStr">
        <is>
          <t>24/07/2026</t>
        </is>
      </c>
    </row>
    <row r="135">
      <c r="B135" t="inlineStr">
        <is>
          <t>Madurai</t>
        </is>
      </c>
      <c r="C135" t="inlineStr">
        <is>
          <t>Melur(UzhavarSandhai)</t>
        </is>
      </c>
      <c r="D135" t="inlineStr">
        <is>
          <t>Brinjal / Round</t>
        </is>
      </c>
      <c r="E135" s="35" t="n">
        <v>5500</v>
      </c>
      <c r="F135" s="35" t="n">
        <v>6000</v>
      </c>
      <c r="G135" s="35" t="n">
        <v>5750</v>
      </c>
      <c r="H135" t="inlineStr">
        <is>
          <t>24/07/2026</t>
        </is>
      </c>
    </row>
    <row r="136">
      <c r="B136" t="inlineStr">
        <is>
          <t>Madurai</t>
        </is>
      </c>
      <c r="C136" t="inlineStr">
        <is>
          <t>Palanganatham(UzhavarSandhai</t>
        </is>
      </c>
      <c r="D136" t="inlineStr">
        <is>
          <t>Capsicum / Capsicum</t>
        </is>
      </c>
      <c r="E136" s="35" t="n">
        <v>8000</v>
      </c>
      <c r="F136" s="35" t="n">
        <v>9000</v>
      </c>
      <c r="G136" s="35" t="n">
        <v>8500</v>
      </c>
      <c r="H136" t="inlineStr">
        <is>
          <t>24/07/2026</t>
        </is>
      </c>
    </row>
    <row r="137">
      <c r="B137" t="inlineStr">
        <is>
          <t>Madurai</t>
        </is>
      </c>
      <c r="C137" t="inlineStr">
        <is>
          <t>Anna nagar(UzhavarSandhai)</t>
        </is>
      </c>
      <c r="D137" t="inlineStr">
        <is>
          <t>Capsicum / Capsicum</t>
        </is>
      </c>
      <c r="E137" s="35" t="n">
        <v>8000</v>
      </c>
      <c r="F137" s="35" t="n">
        <v>8000</v>
      </c>
      <c r="G137" s="35" t="n">
        <v>8000</v>
      </c>
      <c r="H137" t="inlineStr">
        <is>
          <t>24/07/2026</t>
        </is>
      </c>
    </row>
    <row r="138">
      <c r="B138" t="inlineStr">
        <is>
          <t>Madurai</t>
        </is>
      </c>
      <c r="C138" t="inlineStr">
        <is>
          <t>Anaiyur(UzhavarSandhai)</t>
        </is>
      </c>
      <c r="D138" t="inlineStr">
        <is>
          <t>Carrot / Pusakesar</t>
        </is>
      </c>
      <c r="E138" s="35" t="n">
        <v>6000</v>
      </c>
      <c r="F138" s="35" t="n">
        <v>8000</v>
      </c>
      <c r="G138" s="35" t="n">
        <v>7000</v>
      </c>
      <c r="H138" t="inlineStr">
        <is>
          <t>24/07/2026</t>
        </is>
      </c>
    </row>
    <row r="139">
      <c r="B139" t="inlineStr">
        <is>
          <t>Madurai</t>
        </is>
      </c>
      <c r="C139" t="inlineStr">
        <is>
          <t>Palanganatham(UzhavarSandhai</t>
        </is>
      </c>
      <c r="D139" t="inlineStr">
        <is>
          <t>Carrot / Pusakesar</t>
        </is>
      </c>
      <c r="E139" s="35" t="n">
        <v>6000</v>
      </c>
      <c r="F139" s="35" t="n">
        <v>8000</v>
      </c>
      <c r="G139" s="35" t="n">
        <v>7000</v>
      </c>
      <c r="H139" t="inlineStr">
        <is>
          <t>24/07/2026</t>
        </is>
      </c>
    </row>
    <row r="140">
      <c r="B140" t="inlineStr">
        <is>
          <t>Madurai</t>
        </is>
      </c>
      <c r="C140" t="inlineStr">
        <is>
          <t>Anaiyur(UzhavarSandhai)</t>
        </is>
      </c>
      <c r="D140" t="inlineStr">
        <is>
          <t>Chikoos(Sapota) / Sapota</t>
        </is>
      </c>
      <c r="E140" s="35" t="n">
        <v>5000</v>
      </c>
      <c r="F140" s="35" t="n">
        <v>6000</v>
      </c>
      <c r="G140" s="35" t="n">
        <v>5500</v>
      </c>
      <c r="H140" t="inlineStr">
        <is>
          <t>24/07/2026</t>
        </is>
      </c>
    </row>
    <row r="141">
      <c r="B141" t="inlineStr">
        <is>
          <t>Madurai</t>
        </is>
      </c>
      <c r="C141" t="inlineStr">
        <is>
          <t>Chokkikulam(UzhavarSandhai)</t>
        </is>
      </c>
      <c r="D141" t="inlineStr">
        <is>
          <t>Chikoos(Sapota) / Sapota</t>
        </is>
      </c>
      <c r="E141" s="35" t="n">
        <v>4000</v>
      </c>
      <c r="F141" s="35" t="n">
        <v>6000</v>
      </c>
      <c r="G141" s="35" t="n">
        <v>5000</v>
      </c>
      <c r="H141" t="inlineStr">
        <is>
          <t>24/07/2026</t>
        </is>
      </c>
    </row>
    <row r="142">
      <c r="B142" t="inlineStr">
        <is>
          <t>Madurai</t>
        </is>
      </c>
      <c r="C142" t="inlineStr">
        <is>
          <t>Melur(UzhavarSandhai)</t>
        </is>
      </c>
      <c r="D142" t="inlineStr">
        <is>
          <t>Chikoos(Sapota) / Sapota</t>
        </is>
      </c>
      <c r="E142" s="35" t="n">
        <v>4000</v>
      </c>
      <c r="F142" s="35" t="n">
        <v>6000</v>
      </c>
      <c r="G142" s="35" t="n">
        <v>5000</v>
      </c>
      <c r="H142" t="inlineStr">
        <is>
          <t>24/07/2026</t>
        </is>
      </c>
    </row>
    <row r="143">
      <c r="B143" t="inlineStr">
        <is>
          <t>Madurai</t>
        </is>
      </c>
      <c r="C143" t="inlineStr">
        <is>
          <t>Anaiyur(UzhavarSandhai)</t>
        </is>
      </c>
      <c r="D143" t="inlineStr">
        <is>
          <t>Chow Chow / Chow Chow</t>
        </is>
      </c>
      <c r="E143" s="35" t="n">
        <v>2400</v>
      </c>
      <c r="F143" s="35" t="n">
        <v>3000</v>
      </c>
      <c r="G143" s="35" t="n">
        <v>2700</v>
      </c>
      <c r="H143" t="inlineStr">
        <is>
          <t>24/07/2026</t>
        </is>
      </c>
    </row>
    <row r="144">
      <c r="B144" t="inlineStr">
        <is>
          <t>Madurai</t>
        </is>
      </c>
      <c r="C144" t="inlineStr">
        <is>
          <t>Anna nagar(UzhavarSandhai)</t>
        </is>
      </c>
      <c r="D144" t="inlineStr">
        <is>
          <t>Chow Chow / Chow Chow</t>
        </is>
      </c>
      <c r="E144" s="35" t="n">
        <v>3600</v>
      </c>
      <c r="F144" s="35" t="n">
        <v>3600</v>
      </c>
      <c r="G144" s="35" t="n">
        <v>3600</v>
      </c>
      <c r="H144" t="inlineStr">
        <is>
          <t>24/07/2026</t>
        </is>
      </c>
    </row>
    <row r="145">
      <c r="B145" t="inlineStr">
        <is>
          <t>Madurai</t>
        </is>
      </c>
      <c r="C145" t="inlineStr">
        <is>
          <t>Palanganatham(UzhavarSandhai</t>
        </is>
      </c>
      <c r="D145" t="inlineStr">
        <is>
          <t>Chow Chow / Chow Chow</t>
        </is>
      </c>
      <c r="E145" s="35" t="n">
        <v>2400</v>
      </c>
      <c r="F145" s="35" t="n">
        <v>3000</v>
      </c>
      <c r="G145" s="35" t="n">
        <v>2700</v>
      </c>
      <c r="H145" t="inlineStr">
        <is>
          <t>24/07/2026</t>
        </is>
      </c>
    </row>
    <row r="146">
      <c r="B146" t="inlineStr">
        <is>
          <t>Madurai</t>
        </is>
      </c>
      <c r="C146" t="inlineStr">
        <is>
          <t>Anna nagar(UzhavarSandhai)</t>
        </is>
      </c>
      <c r="D146" t="inlineStr">
        <is>
          <t>Cluster beans / Cluster Beans</t>
        </is>
      </c>
      <c r="E146" s="35" t="n">
        <v>4600</v>
      </c>
      <c r="F146" s="35" t="n">
        <v>4600</v>
      </c>
      <c r="G146" s="35" t="n">
        <v>4600</v>
      </c>
      <c r="H146" t="inlineStr">
        <is>
          <t>24/07/2026</t>
        </is>
      </c>
    </row>
    <row r="147">
      <c r="B147" t="inlineStr">
        <is>
          <t>Madurai</t>
        </is>
      </c>
      <c r="C147" t="inlineStr">
        <is>
          <t>Chokkikulam(UzhavarSandhai)</t>
        </is>
      </c>
      <c r="D147" t="inlineStr">
        <is>
          <t>Cluster beans / Cluster Beans</t>
        </is>
      </c>
      <c r="E147" s="35" t="n">
        <v>3600</v>
      </c>
      <c r="F147" s="35" t="n">
        <v>4000</v>
      </c>
      <c r="G147" s="35" t="n">
        <v>3800</v>
      </c>
      <c r="H147" t="inlineStr">
        <is>
          <t>24/07/2026</t>
        </is>
      </c>
    </row>
    <row r="148">
      <c r="B148" t="inlineStr">
        <is>
          <t>Madurai</t>
        </is>
      </c>
      <c r="C148" t="inlineStr">
        <is>
          <t>Anaiyur(UzhavarSandhai)</t>
        </is>
      </c>
      <c r="D148" t="inlineStr">
        <is>
          <t>Colacasia / Colacasia</t>
        </is>
      </c>
      <c r="E148" s="35" t="n">
        <v>4000</v>
      </c>
      <c r="F148" s="35" t="n">
        <v>5000</v>
      </c>
      <c r="G148" s="35" t="n">
        <v>4500</v>
      </c>
      <c r="H148" t="inlineStr">
        <is>
          <t>24/07/2026</t>
        </is>
      </c>
    </row>
    <row r="149">
      <c r="B149" t="inlineStr">
        <is>
          <t>Madurai</t>
        </is>
      </c>
      <c r="C149" t="inlineStr">
        <is>
          <t>Chokkikulam(UzhavarSandhai)</t>
        </is>
      </c>
      <c r="D149" t="inlineStr">
        <is>
          <t>Coriander(Leaves) / I Sort</t>
        </is>
      </c>
      <c r="E149" s="35" t="n">
        <v>6500</v>
      </c>
      <c r="F149" s="35" t="n">
        <v>7000</v>
      </c>
      <c r="G149" s="35" t="n">
        <v>6750</v>
      </c>
      <c r="H149" t="inlineStr">
        <is>
          <t>24/07/2026</t>
        </is>
      </c>
    </row>
    <row r="150">
      <c r="B150" t="inlineStr">
        <is>
          <t>Madurai</t>
        </is>
      </c>
      <c r="C150" t="inlineStr">
        <is>
          <t>Palanganatham(UzhavarSandhai</t>
        </is>
      </c>
      <c r="D150" t="inlineStr">
        <is>
          <t>Coriander(Leaves) / I Sort</t>
        </is>
      </c>
      <c r="E150" s="35" t="n">
        <v>6500</v>
      </c>
      <c r="F150" s="35" t="n">
        <v>7000</v>
      </c>
      <c r="G150" s="35" t="n">
        <v>6750</v>
      </c>
      <c r="H150" t="inlineStr">
        <is>
          <t>24/07/2026</t>
        </is>
      </c>
    </row>
    <row r="151">
      <c r="B151" t="inlineStr">
        <is>
          <t>Madurai</t>
        </is>
      </c>
      <c r="C151" t="inlineStr">
        <is>
          <t>Chokkikulam(UzhavarSandhai)</t>
        </is>
      </c>
      <c r="D151" t="inlineStr">
        <is>
          <t>Cucumbar(Kheera) / Cucumbar</t>
        </is>
      </c>
      <c r="E151" s="35" t="n">
        <v>4000</v>
      </c>
      <c r="F151" s="35" t="n">
        <v>5000</v>
      </c>
      <c r="G151" s="35" t="n">
        <v>4500</v>
      </c>
      <c r="H151" t="inlineStr">
        <is>
          <t>24/07/2026</t>
        </is>
      </c>
    </row>
    <row r="152">
      <c r="B152" t="inlineStr">
        <is>
          <t>Madurai</t>
        </is>
      </c>
      <c r="C152" t="inlineStr">
        <is>
          <t>Chokkikulam(UzhavarSandhai)</t>
        </is>
      </c>
      <c r="D152" t="inlineStr">
        <is>
          <t>Drumstick / Drumstick</t>
        </is>
      </c>
      <c r="E152" s="35" t="n">
        <v>6000</v>
      </c>
      <c r="F152" s="35" t="n">
        <v>7000</v>
      </c>
      <c r="G152" s="35" t="n">
        <v>6500</v>
      </c>
      <c r="H152" t="inlineStr">
        <is>
          <t>24/07/2026</t>
        </is>
      </c>
    </row>
    <row r="153">
      <c r="B153" t="inlineStr">
        <is>
          <t>Madurai</t>
        </is>
      </c>
      <c r="C153" t="inlineStr">
        <is>
          <t>Usilampatti(UzhavarSandhai)</t>
        </is>
      </c>
      <c r="D153" t="inlineStr">
        <is>
          <t>Drumstick / Drumstick</t>
        </is>
      </c>
      <c r="E153" s="35" t="n">
        <v>6000</v>
      </c>
      <c r="F153" s="35" t="n">
        <v>7000</v>
      </c>
      <c r="G153" s="35" t="n">
        <v>6500</v>
      </c>
      <c r="H153" t="inlineStr">
        <is>
          <t>24/07/2026</t>
        </is>
      </c>
    </row>
    <row r="154">
      <c r="B154" t="inlineStr">
        <is>
          <t>Madurai</t>
        </is>
      </c>
      <c r="C154" t="inlineStr">
        <is>
          <t>Palanganatham(UzhavarSandhai</t>
        </is>
      </c>
      <c r="D154" t="inlineStr">
        <is>
          <t>Drumstick / Drumstick</t>
        </is>
      </c>
      <c r="E154" s="35" t="n">
        <v>6000</v>
      </c>
      <c r="F154" s="35" t="n">
        <v>7000</v>
      </c>
      <c r="G154" s="35" t="n">
        <v>6500</v>
      </c>
      <c r="H154" t="inlineStr">
        <is>
          <t>24/07/2026</t>
        </is>
      </c>
    </row>
    <row r="155">
      <c r="B155" t="inlineStr">
        <is>
          <t>Madurai</t>
        </is>
      </c>
      <c r="C155" t="inlineStr">
        <is>
          <t>Thirumangalam(UzhavarSandhai</t>
        </is>
      </c>
      <c r="D155" t="inlineStr">
        <is>
          <t>Drumstick / Drumstick</t>
        </is>
      </c>
      <c r="E155" s="35" t="n">
        <v>6000</v>
      </c>
      <c r="F155" s="35" t="n">
        <v>7000</v>
      </c>
      <c r="G155" s="35" t="n">
        <v>6500</v>
      </c>
      <c r="H155" t="inlineStr">
        <is>
          <t>24/07/2026</t>
        </is>
      </c>
    </row>
    <row r="156">
      <c r="B156" t="inlineStr">
        <is>
          <t>Madurai</t>
        </is>
      </c>
      <c r="C156" t="inlineStr">
        <is>
          <t>Palanganatham(UzhavarSandhai</t>
        </is>
      </c>
      <c r="D156" t="inlineStr">
        <is>
          <t>Elephant Yam(Suran)/Amorphophallus</t>
        </is>
      </c>
      <c r="E156" s="35" t="n">
        <v>4500</v>
      </c>
      <c r="F156" s="35" t="n">
        <v>5500</v>
      </c>
      <c r="G156" s="35" t="n">
        <v>5000</v>
      </c>
      <c r="H156" t="inlineStr">
        <is>
          <t>24/07/2026</t>
        </is>
      </c>
    </row>
    <row r="157">
      <c r="B157" t="inlineStr">
        <is>
          <t>Madurai</t>
        </is>
      </c>
      <c r="C157" t="inlineStr">
        <is>
          <t>Chokkikulam(UzhavarSandhai)</t>
        </is>
      </c>
      <c r="D157" t="inlineStr">
        <is>
          <t>Elephant Yam(Suran)/Amorphophallus</t>
        </is>
      </c>
      <c r="E157" s="35" t="n">
        <v>4000</v>
      </c>
      <c r="F157" s="35" t="n">
        <v>5500</v>
      </c>
      <c r="G157" s="35" t="n">
        <v>4750</v>
      </c>
      <c r="H157" t="inlineStr">
        <is>
          <t>24/07/2026</t>
        </is>
      </c>
    </row>
    <row r="158">
      <c r="B158" t="inlineStr">
        <is>
          <t>Madurai</t>
        </is>
      </c>
      <c r="C158" t="inlineStr">
        <is>
          <t>Thirumangalam(UzhavarSandhai</t>
        </is>
      </c>
      <c r="D158" t="inlineStr">
        <is>
          <t>Elephant Yam(Suran)/Amorphophallus</t>
        </is>
      </c>
      <c r="E158" s="35" t="n">
        <v>4000</v>
      </c>
      <c r="F158" s="35" t="n">
        <v>4500</v>
      </c>
      <c r="G158" s="35" t="n">
        <v>4250</v>
      </c>
      <c r="H158" t="inlineStr">
        <is>
          <t>24/07/2026</t>
        </is>
      </c>
    </row>
    <row r="159">
      <c r="B159" t="inlineStr">
        <is>
          <t>Madurai</t>
        </is>
      </c>
      <c r="C159" t="inlineStr">
        <is>
          <t>Anna nagar(UzhavarSandhai)</t>
        </is>
      </c>
      <c r="D159" t="inlineStr">
        <is>
          <t>Garlic / Garlic</t>
        </is>
      </c>
      <c r="E159" s="35" t="n">
        <v>14000</v>
      </c>
      <c r="F159" s="35" t="n">
        <v>14000</v>
      </c>
      <c r="G159" s="35" t="n">
        <v>14000</v>
      </c>
      <c r="H159" t="inlineStr">
        <is>
          <t>24/07/2026</t>
        </is>
      </c>
    </row>
    <row r="160">
      <c r="B160" t="inlineStr">
        <is>
          <t>Madurai</t>
        </is>
      </c>
      <c r="C160" t="inlineStr">
        <is>
          <t>Chokkikulam(UzhavarSandhai)</t>
        </is>
      </c>
      <c r="D160" t="inlineStr">
        <is>
          <t>Garlic / Garlic</t>
        </is>
      </c>
      <c r="E160" s="35" t="n">
        <v>11000</v>
      </c>
      <c r="F160" s="35" t="n">
        <v>25000</v>
      </c>
      <c r="G160" s="35" t="n">
        <v>18000</v>
      </c>
      <c r="H160" t="inlineStr">
        <is>
          <t>24/07/2026</t>
        </is>
      </c>
    </row>
    <row r="161">
      <c r="B161" t="inlineStr">
        <is>
          <t>Madurai</t>
        </is>
      </c>
      <c r="C161" t="inlineStr">
        <is>
          <t>Anaiyur(UzhavarSandhai)</t>
        </is>
      </c>
      <c r="D161" t="inlineStr">
        <is>
          <t>Garlic / Garlic</t>
        </is>
      </c>
      <c r="E161" s="35" t="n">
        <v>13000</v>
      </c>
      <c r="F161" s="35" t="n">
        <v>27000</v>
      </c>
      <c r="G161" s="35" t="n">
        <v>20000</v>
      </c>
      <c r="H161" t="inlineStr">
        <is>
          <t>24/07/2026</t>
        </is>
      </c>
    </row>
    <row r="162">
      <c r="B162" t="inlineStr">
        <is>
          <t>Madurai</t>
        </is>
      </c>
      <c r="C162" t="inlineStr">
        <is>
          <t>Palanganatham(UzhavarSandhai</t>
        </is>
      </c>
      <c r="D162" t="inlineStr">
        <is>
          <t>Garlic / Garlic</t>
        </is>
      </c>
      <c r="E162" s="35" t="n">
        <v>26000</v>
      </c>
      <c r="F162" s="35" t="n">
        <v>27000</v>
      </c>
      <c r="G162" s="35" t="n">
        <v>26500</v>
      </c>
      <c r="H162" t="inlineStr">
        <is>
          <t>24/07/2026</t>
        </is>
      </c>
    </row>
    <row r="163">
      <c r="B163" t="inlineStr">
        <is>
          <t>Madurai</t>
        </is>
      </c>
      <c r="C163" t="inlineStr">
        <is>
          <t>Chokkikulam(UzhavarSandhai)</t>
        </is>
      </c>
      <c r="D163" t="inlineStr">
        <is>
          <t>Ginger(Green) / Green Ginger</t>
        </is>
      </c>
      <c r="E163" s="35" t="n">
        <v>15000</v>
      </c>
      <c r="F163" s="35" t="n">
        <v>21000</v>
      </c>
      <c r="G163" s="35" t="n">
        <v>18000</v>
      </c>
      <c r="H163" t="inlineStr">
        <is>
          <t>24/07/2026</t>
        </is>
      </c>
    </row>
    <row r="164">
      <c r="B164" t="inlineStr">
        <is>
          <t>Madurai</t>
        </is>
      </c>
      <c r="C164" t="inlineStr">
        <is>
          <t>Palanganatham(UzhavarSandhai</t>
        </is>
      </c>
      <c r="D164" t="inlineStr">
        <is>
          <t>Ginger(Green) / Green Ginger</t>
        </is>
      </c>
      <c r="E164" s="35" t="n">
        <v>15000</v>
      </c>
      <c r="F164" s="35" t="n">
        <v>21000</v>
      </c>
      <c r="G164" s="35" t="n">
        <v>18000</v>
      </c>
      <c r="H164" t="inlineStr">
        <is>
          <t>24/07/2026</t>
        </is>
      </c>
    </row>
    <row r="165">
      <c r="B165" t="inlineStr">
        <is>
          <t>Madurai</t>
        </is>
      </c>
      <c r="C165" t="inlineStr">
        <is>
          <t>Palanganatham(UzhavarSandhai</t>
        </is>
      </c>
      <c r="D165" t="inlineStr">
        <is>
          <t>Grapes / Annabesahai</t>
        </is>
      </c>
      <c r="E165" s="35" t="n">
        <v>10000</v>
      </c>
      <c r="F165" s="35" t="n">
        <v>11000</v>
      </c>
      <c r="G165" s="35" t="n">
        <v>10500</v>
      </c>
      <c r="H165" t="inlineStr">
        <is>
          <t>24/07/2026</t>
        </is>
      </c>
    </row>
    <row r="166">
      <c r="B166" t="inlineStr">
        <is>
          <t>Madurai</t>
        </is>
      </c>
      <c r="C166" t="inlineStr">
        <is>
          <t>Anaiyur(UzhavarSandhai)</t>
        </is>
      </c>
      <c r="D166" t="inlineStr">
        <is>
          <t>Grapes / Annabesahai</t>
        </is>
      </c>
      <c r="E166" s="35" t="n">
        <v>10000</v>
      </c>
      <c r="F166" s="35" t="n">
        <v>11000</v>
      </c>
      <c r="G166" s="35" t="n">
        <v>10500</v>
      </c>
      <c r="H166" t="inlineStr">
        <is>
          <t>24/07/2026</t>
        </is>
      </c>
    </row>
    <row r="167">
      <c r="B167" t="inlineStr">
        <is>
          <t>Madurai</t>
        </is>
      </c>
      <c r="C167" t="inlineStr">
        <is>
          <t>Usilampatti(UzhavarSandhai)</t>
        </is>
      </c>
      <c r="D167" t="inlineStr">
        <is>
          <t>Green Chilli / Green Chilly</t>
        </is>
      </c>
      <c r="E167" s="35" t="n">
        <v>5000</v>
      </c>
      <c r="F167" s="35" t="n">
        <v>6000</v>
      </c>
      <c r="G167" s="35" t="n">
        <v>5500</v>
      </c>
      <c r="H167" t="inlineStr">
        <is>
          <t>24/07/2026</t>
        </is>
      </c>
    </row>
    <row r="168">
      <c r="B168" t="inlineStr">
        <is>
          <t>Madurai</t>
        </is>
      </c>
      <c r="C168" t="inlineStr">
        <is>
          <t>Palanganatham(UzhavarSandhai</t>
        </is>
      </c>
      <c r="D168" t="inlineStr">
        <is>
          <t>Green Peas / Green Peas</t>
        </is>
      </c>
      <c r="E168" s="35" t="n">
        <v>18000</v>
      </c>
      <c r="F168" s="35" t="n">
        <v>20000</v>
      </c>
      <c r="G168" s="35" t="n">
        <v>19000</v>
      </c>
      <c r="H168" t="inlineStr">
        <is>
          <t>24/07/2026</t>
        </is>
      </c>
    </row>
    <row r="169">
      <c r="B169" t="inlineStr">
        <is>
          <t>Madurai</t>
        </is>
      </c>
      <c r="C169" t="inlineStr">
        <is>
          <t>Anaiyur(UzhavarSandhai)</t>
        </is>
      </c>
      <c r="D169" t="inlineStr">
        <is>
          <t>Guava / Guava Allahabad</t>
        </is>
      </c>
      <c r="E169" s="35" t="n">
        <v>8000</v>
      </c>
      <c r="F169" s="35" t="n">
        <v>9000</v>
      </c>
      <c r="G169" s="35" t="n">
        <v>8500</v>
      </c>
      <c r="H169" t="inlineStr">
        <is>
          <t>24/07/2026</t>
        </is>
      </c>
    </row>
    <row r="170">
      <c r="B170" t="inlineStr">
        <is>
          <t>Madurai</t>
        </is>
      </c>
      <c r="C170" t="inlineStr">
        <is>
          <t>Palanganatham(UzhavarSandhai</t>
        </is>
      </c>
      <c r="D170" t="inlineStr">
        <is>
          <t>Guava / Guava Allahabad</t>
        </is>
      </c>
      <c r="E170" s="35" t="n">
        <v>7000</v>
      </c>
      <c r="F170" s="35" t="n">
        <v>8000</v>
      </c>
      <c r="G170" s="35" t="n">
        <v>7500</v>
      </c>
      <c r="H170" t="inlineStr">
        <is>
          <t>24/07/2026</t>
        </is>
      </c>
    </row>
    <row r="171">
      <c r="B171" t="inlineStr">
        <is>
          <t>Madurai</t>
        </is>
      </c>
      <c r="C171" t="inlineStr">
        <is>
          <t>Anna nagar(UzhavarSandhai)</t>
        </is>
      </c>
      <c r="D171" t="inlineStr">
        <is>
          <t>Guava / Guava Allahabad</t>
        </is>
      </c>
      <c r="E171" s="35" t="n">
        <v>8000</v>
      </c>
      <c r="F171" s="35" t="n">
        <v>8000</v>
      </c>
      <c r="G171" s="35" t="n">
        <v>8000</v>
      </c>
      <c r="H171" t="inlineStr">
        <is>
          <t>24/07/2026</t>
        </is>
      </c>
    </row>
    <row r="172">
      <c r="B172" t="inlineStr">
        <is>
          <t>Madurai</t>
        </is>
      </c>
      <c r="C172" t="inlineStr">
        <is>
          <t>Palanganatham(UzhavarSandhai</t>
        </is>
      </c>
      <c r="D172" t="inlineStr">
        <is>
          <t xml:space="preserve">Indian Beans(Seam) / Indian Beans </t>
        </is>
      </c>
      <c r="E172" s="35" t="n">
        <v>5000</v>
      </c>
      <c r="F172" s="35" t="n">
        <v>5500</v>
      </c>
      <c r="G172" s="35" t="n">
        <v>5250</v>
      </c>
      <c r="H172" t="inlineStr">
        <is>
          <t>24/07/2026</t>
        </is>
      </c>
    </row>
    <row r="173">
      <c r="B173" t="inlineStr">
        <is>
          <t>Madurai</t>
        </is>
      </c>
      <c r="C173" t="inlineStr">
        <is>
          <t>Chokkikulam(UzhavarSandhai)</t>
        </is>
      </c>
      <c r="D173" t="inlineStr">
        <is>
          <t>Knool Khol / Knool Khol</t>
        </is>
      </c>
      <c r="E173" s="35" t="n">
        <v>6500</v>
      </c>
      <c r="F173" s="35" t="n">
        <v>7000</v>
      </c>
      <c r="G173" s="35" t="n">
        <v>6750</v>
      </c>
      <c r="H173" t="inlineStr">
        <is>
          <t>24/07/2026</t>
        </is>
      </c>
    </row>
    <row r="174">
      <c r="B174" t="inlineStr">
        <is>
          <t>Madurai</t>
        </is>
      </c>
      <c r="C174" t="inlineStr">
        <is>
          <t>Palanganatham(UzhavarSandhai</t>
        </is>
      </c>
      <c r="D174" t="inlineStr">
        <is>
          <t>Knool Khol / Knool Khol</t>
        </is>
      </c>
      <c r="E174" s="35" t="n">
        <v>6500</v>
      </c>
      <c r="F174" s="35" t="n">
        <v>7000</v>
      </c>
      <c r="G174" s="35" t="n">
        <v>6750</v>
      </c>
      <c r="H174" t="inlineStr">
        <is>
          <t>24/07/2026</t>
        </is>
      </c>
    </row>
    <row r="175">
      <c r="B175" t="inlineStr">
        <is>
          <t>Madurai</t>
        </is>
      </c>
      <c r="C175" t="inlineStr">
        <is>
          <t>Usilampatti(UzhavarSandhai)</t>
        </is>
      </c>
      <c r="D175" t="inlineStr">
        <is>
          <t>Lemon / Lemon</t>
        </is>
      </c>
      <c r="E175" s="35" t="n">
        <v>5000</v>
      </c>
      <c r="F175" s="35" t="n">
        <v>6000</v>
      </c>
      <c r="G175" s="35" t="n">
        <v>5500</v>
      </c>
      <c r="H175" t="inlineStr">
        <is>
          <t>24/07/2026</t>
        </is>
      </c>
    </row>
    <row r="176">
      <c r="B176" t="inlineStr">
        <is>
          <t>Madurai</t>
        </is>
      </c>
      <c r="C176" t="inlineStr">
        <is>
          <t>Melur(UzhavarSandhai)</t>
        </is>
      </c>
      <c r="D176" t="inlineStr">
        <is>
          <t>Lemon / Lemon</t>
        </is>
      </c>
      <c r="E176" s="35" t="n">
        <v>5000</v>
      </c>
      <c r="F176" s="35" t="n">
        <v>6000</v>
      </c>
      <c r="G176" s="35" t="n">
        <v>5500</v>
      </c>
      <c r="H176" t="inlineStr">
        <is>
          <t>24/07/2026</t>
        </is>
      </c>
    </row>
    <row r="177">
      <c r="B177" t="inlineStr">
        <is>
          <t>Madurai</t>
        </is>
      </c>
      <c r="C177" t="inlineStr">
        <is>
          <t>Anaiyur(UzhavarSandhai)</t>
        </is>
      </c>
      <c r="D177" t="inlineStr">
        <is>
          <t>Lemon / Lemon</t>
        </is>
      </c>
      <c r="E177" s="35" t="n">
        <v>5000</v>
      </c>
      <c r="F177" s="35" t="n">
        <v>6000</v>
      </c>
      <c r="G177" s="35" t="n">
        <v>5500</v>
      </c>
      <c r="H177" t="inlineStr">
        <is>
          <t>24/07/2026</t>
        </is>
      </c>
    </row>
    <row r="178">
      <c r="B178" t="inlineStr">
        <is>
          <t>Madurai</t>
        </is>
      </c>
      <c r="C178" t="inlineStr">
        <is>
          <t>Thirumangalam(UzhavarSandhai</t>
        </is>
      </c>
      <c r="D178" t="inlineStr">
        <is>
          <t>Lemon / Lemon</t>
        </is>
      </c>
      <c r="E178" s="35" t="n">
        <v>5000</v>
      </c>
      <c r="F178" s="35" t="n">
        <v>6000</v>
      </c>
      <c r="G178" s="35" t="n">
        <v>5500</v>
      </c>
      <c r="H178" t="inlineStr">
        <is>
          <t>24/07/2026</t>
        </is>
      </c>
    </row>
    <row r="179">
      <c r="B179" t="inlineStr">
        <is>
          <t>Madurai</t>
        </is>
      </c>
      <c r="C179" t="inlineStr">
        <is>
          <t>Palanganatham(UzhavarSandhai</t>
        </is>
      </c>
      <c r="D179" t="inlineStr">
        <is>
          <t>Lime / Lime</t>
        </is>
      </c>
      <c r="E179" s="35" t="n">
        <v>14000</v>
      </c>
      <c r="F179" s="35" t="n">
        <v>15000</v>
      </c>
      <c r="G179" s="35" t="n">
        <v>14500</v>
      </c>
      <c r="H179" t="inlineStr">
        <is>
          <t>24/07/2026</t>
        </is>
      </c>
    </row>
    <row r="180">
      <c r="B180" t="inlineStr">
        <is>
          <t>Madurai</t>
        </is>
      </c>
      <c r="C180" t="inlineStr">
        <is>
          <t>Anaiyur(UzhavarSandhai)</t>
        </is>
      </c>
      <c r="D180" t="inlineStr">
        <is>
          <t>Lime / Lime</t>
        </is>
      </c>
      <c r="E180" s="35" t="n">
        <v>12000</v>
      </c>
      <c r="F180" s="35" t="n">
        <v>15000</v>
      </c>
      <c r="G180" s="35" t="n">
        <v>13500</v>
      </c>
      <c r="H180" t="inlineStr">
        <is>
          <t>24/07/2026</t>
        </is>
      </c>
    </row>
    <row r="181">
      <c r="B181" t="inlineStr">
        <is>
          <t>Madurai</t>
        </is>
      </c>
      <c r="C181" t="inlineStr">
        <is>
          <t>Thirumangalam(UzhavarSandhai</t>
        </is>
      </c>
      <c r="D181" t="inlineStr">
        <is>
          <t>Mango / Safeda</t>
        </is>
      </c>
      <c r="E181" s="35" t="n">
        <v>5000</v>
      </c>
      <c r="F181" s="35" t="n">
        <v>6000</v>
      </c>
      <c r="G181" s="35" t="n">
        <v>5500</v>
      </c>
      <c r="H181" t="inlineStr">
        <is>
          <t>24/07/2026</t>
        </is>
      </c>
    </row>
    <row r="182">
      <c r="B182" t="inlineStr">
        <is>
          <t>Madurai</t>
        </is>
      </c>
      <c r="C182" t="inlineStr">
        <is>
          <t>Anna nagar(UzhavarSandhai)</t>
        </is>
      </c>
      <c r="D182" t="inlineStr">
        <is>
          <t>Mango(Raw-Ripe) / Mango - Raw-Ripe</t>
        </is>
      </c>
      <c r="E182" s="35" t="n">
        <v>4000</v>
      </c>
      <c r="F182" s="35" t="n">
        <v>4000</v>
      </c>
      <c r="G182" s="35" t="n">
        <v>4000</v>
      </c>
      <c r="H182" t="inlineStr">
        <is>
          <t>24/07/2026</t>
        </is>
      </c>
    </row>
    <row r="183">
      <c r="B183" t="inlineStr">
        <is>
          <t>Madurai</t>
        </is>
      </c>
      <c r="C183" t="inlineStr">
        <is>
          <t>Chokkikulam(UzhavarSandhai)</t>
        </is>
      </c>
      <c r="D183" t="inlineStr">
        <is>
          <t>Mashrooms / Mashrooms</t>
        </is>
      </c>
      <c r="E183" s="35" t="n">
        <v>22500</v>
      </c>
      <c r="F183" s="35" t="n">
        <v>25000</v>
      </c>
      <c r="G183" s="35" t="n">
        <v>23750</v>
      </c>
      <c r="H183" t="inlineStr">
        <is>
          <t>24/07/2026</t>
        </is>
      </c>
    </row>
    <row r="184">
      <c r="B184" t="inlineStr">
        <is>
          <t>Madurai</t>
        </is>
      </c>
      <c r="C184" t="inlineStr">
        <is>
          <t>Anaiyur(UzhavarSandhai)</t>
        </is>
      </c>
      <c r="D184" t="inlineStr">
        <is>
          <t>Mashrooms / Mashrooms</t>
        </is>
      </c>
      <c r="E184" s="35" t="n">
        <v>20000</v>
      </c>
      <c r="F184" s="35" t="n">
        <v>25000</v>
      </c>
      <c r="G184" s="35" t="n">
        <v>22500</v>
      </c>
      <c r="H184" t="inlineStr">
        <is>
          <t>24/07/2026</t>
        </is>
      </c>
    </row>
    <row r="185">
      <c r="B185" t="inlineStr">
        <is>
          <t>Madurai</t>
        </is>
      </c>
      <c r="C185" t="inlineStr">
        <is>
          <t>Usilampatti(UzhavarSandhai)</t>
        </is>
      </c>
      <c r="D185" t="inlineStr">
        <is>
          <t>Mint(Pudina) / Mint(Pudina)</t>
        </is>
      </c>
      <c r="E185" s="35" t="n">
        <v>5500</v>
      </c>
      <c r="F185" s="35" t="n">
        <v>6000</v>
      </c>
      <c r="G185" s="35" t="n">
        <v>5750</v>
      </c>
      <c r="H185" t="inlineStr">
        <is>
          <t>24/07/2026</t>
        </is>
      </c>
    </row>
    <row r="186">
      <c r="B186" t="inlineStr">
        <is>
          <t>Madurai</t>
        </is>
      </c>
      <c r="C186" t="inlineStr">
        <is>
          <t>Chokkikulam(UzhavarSandhai)</t>
        </is>
      </c>
      <c r="D186" t="inlineStr">
        <is>
          <t>Mousambi(Sweet Lime) / Mousambi</t>
        </is>
      </c>
      <c r="E186" s="35" t="n">
        <v>8000</v>
      </c>
      <c r="F186" s="35" t="n">
        <v>10000</v>
      </c>
      <c r="G186" s="35" t="n">
        <v>9000</v>
      </c>
      <c r="H186" t="inlineStr">
        <is>
          <t>24/07/2026</t>
        </is>
      </c>
    </row>
    <row r="187">
      <c r="B187" t="inlineStr">
        <is>
          <t>Madurai</t>
        </is>
      </c>
      <c r="C187" t="inlineStr">
        <is>
          <t>Anaiyur(UzhavarSandhai)</t>
        </is>
      </c>
      <c r="D187" t="inlineStr">
        <is>
          <t>Orange / Darjeeling</t>
        </is>
      </c>
      <c r="E187" s="35" t="n">
        <v>12000</v>
      </c>
      <c r="F187" s="35" t="n">
        <v>16000</v>
      </c>
      <c r="G187" s="35" t="n">
        <v>14000</v>
      </c>
      <c r="H187" t="inlineStr">
        <is>
          <t>24/07/2026</t>
        </is>
      </c>
    </row>
    <row r="188">
      <c r="B188" t="inlineStr">
        <is>
          <t>Madurai</t>
        </is>
      </c>
      <c r="C188" t="inlineStr">
        <is>
          <t>Anna nagar(UzhavarSandhai)</t>
        </is>
      </c>
      <c r="D188" t="inlineStr">
        <is>
          <t>Orange / Darjeeling</t>
        </is>
      </c>
      <c r="E188" s="35" t="n">
        <v>12000</v>
      </c>
      <c r="F188" s="35" t="n">
        <v>12000</v>
      </c>
      <c r="G188" s="35" t="n">
        <v>12000</v>
      </c>
      <c r="H188" t="inlineStr">
        <is>
          <t>24/07/2026</t>
        </is>
      </c>
    </row>
    <row r="189">
      <c r="B189" t="inlineStr">
        <is>
          <t>Madurai</t>
        </is>
      </c>
      <c r="C189" t="inlineStr">
        <is>
          <t>Anna nagar(UzhavarSandhai)</t>
        </is>
      </c>
      <c r="D189" t="inlineStr">
        <is>
          <t>Papaya / Papaya</t>
        </is>
      </c>
      <c r="E189" s="35" t="n">
        <v>4500</v>
      </c>
      <c r="F189" s="35" t="n">
        <v>4500</v>
      </c>
      <c r="G189" s="35" t="n">
        <v>4500</v>
      </c>
      <c r="H189" t="inlineStr">
        <is>
          <t>24/07/2026</t>
        </is>
      </c>
    </row>
    <row r="190">
      <c r="B190" t="inlineStr">
        <is>
          <t>Madurai</t>
        </is>
      </c>
      <c r="C190" t="inlineStr">
        <is>
          <t>Chokkikulam(UzhavarSandhai)</t>
        </is>
      </c>
      <c r="D190" t="inlineStr">
        <is>
          <t>Pomegranate / Pomogranate</t>
        </is>
      </c>
      <c r="E190" s="35" t="n">
        <v>24000</v>
      </c>
      <c r="F190" s="35" t="n">
        <v>28000</v>
      </c>
      <c r="G190" s="35" t="n">
        <v>26000</v>
      </c>
      <c r="H190" t="inlineStr">
        <is>
          <t>24/07/2026</t>
        </is>
      </c>
    </row>
    <row r="191">
      <c r="B191" t="inlineStr">
        <is>
          <t>Madurai</t>
        </is>
      </c>
      <c r="C191" t="inlineStr">
        <is>
          <t>Anaiyur(UzhavarSandhai)</t>
        </is>
      </c>
      <c r="D191" t="inlineStr">
        <is>
          <t>Pomegranate / Pomogranate</t>
        </is>
      </c>
      <c r="E191" s="35" t="n">
        <v>20000</v>
      </c>
      <c r="F191" s="35" t="n">
        <v>28000</v>
      </c>
      <c r="G191" s="35" t="n">
        <v>24000</v>
      </c>
      <c r="H191" t="inlineStr">
        <is>
          <t>24/07/2026</t>
        </is>
      </c>
    </row>
    <row r="192">
      <c r="B192" t="inlineStr">
        <is>
          <t>Madurai</t>
        </is>
      </c>
      <c r="C192" t="inlineStr">
        <is>
          <t>Palanganatham(UzhavarSandhai</t>
        </is>
      </c>
      <c r="D192" t="inlineStr">
        <is>
          <t>Potato / Other</t>
        </is>
      </c>
      <c r="E192" s="35" t="n">
        <v>5600</v>
      </c>
      <c r="F192" s="35" t="n">
        <v>6000</v>
      </c>
      <c r="G192" s="35" t="n">
        <v>5800</v>
      </c>
      <c r="H192" t="inlineStr">
        <is>
          <t>24/07/2026</t>
        </is>
      </c>
    </row>
    <row r="193">
      <c r="B193" t="inlineStr">
        <is>
          <t>Madurai</t>
        </is>
      </c>
      <c r="C193" t="inlineStr">
        <is>
          <t>Chokkikulam(UzhavarSandhai)</t>
        </is>
      </c>
      <c r="D193" t="inlineStr">
        <is>
          <t>Potato / Red Nanital</t>
        </is>
      </c>
      <c r="E193" s="35" t="n">
        <v>2400</v>
      </c>
      <c r="F193" s="35" t="n">
        <v>6000</v>
      </c>
      <c r="G193" s="35" t="n">
        <v>4200</v>
      </c>
      <c r="H193" t="inlineStr">
        <is>
          <t>24/07/2026</t>
        </is>
      </c>
    </row>
    <row r="194">
      <c r="B194" t="inlineStr">
        <is>
          <t>Madurai</t>
        </is>
      </c>
      <c r="C194" t="inlineStr">
        <is>
          <t>Melur(UzhavarSandhai)</t>
        </is>
      </c>
      <c r="D194" t="inlineStr">
        <is>
          <t>Pumpkin / Pumpkin</t>
        </is>
      </c>
      <c r="E194" s="35" t="n">
        <v>2000</v>
      </c>
      <c r="F194" s="35" t="n">
        <v>2400</v>
      </c>
      <c r="G194" s="35" t="n">
        <v>2200</v>
      </c>
      <c r="H194" t="inlineStr">
        <is>
          <t>24/07/2026</t>
        </is>
      </c>
    </row>
    <row r="195">
      <c r="B195" t="inlineStr">
        <is>
          <t>Madurai</t>
        </is>
      </c>
      <c r="C195" t="inlineStr">
        <is>
          <t>Anaiyur(UzhavarSandhai)</t>
        </is>
      </c>
      <c r="D195" t="inlineStr">
        <is>
          <t>Pumpkin / Pumpkin</t>
        </is>
      </c>
      <c r="E195" s="35" t="n">
        <v>2000</v>
      </c>
      <c r="F195" s="35" t="n">
        <v>2400</v>
      </c>
      <c r="G195" s="35" t="n">
        <v>2200</v>
      </c>
      <c r="H195" t="inlineStr">
        <is>
          <t>24/07/2026</t>
        </is>
      </c>
    </row>
    <row r="196">
      <c r="B196" t="inlineStr">
        <is>
          <t>Madurai</t>
        </is>
      </c>
      <c r="C196" t="inlineStr">
        <is>
          <t>Anaiyur(UzhavarSandhai)</t>
        </is>
      </c>
      <c r="D196" t="inlineStr">
        <is>
          <t>Raddish / Raddish</t>
        </is>
      </c>
      <c r="E196" s="35" t="n">
        <v>3000</v>
      </c>
      <c r="F196" s="35" t="n">
        <v>3500</v>
      </c>
      <c r="G196" s="35" t="n">
        <v>3250</v>
      </c>
      <c r="H196" t="inlineStr">
        <is>
          <t>24/07/2026</t>
        </is>
      </c>
    </row>
    <row r="197">
      <c r="B197" t="inlineStr">
        <is>
          <t>Madurai</t>
        </is>
      </c>
      <c r="C197" t="inlineStr">
        <is>
          <t>Chokkikulam(UzhavarSandhai)</t>
        </is>
      </c>
      <c r="D197" t="inlineStr">
        <is>
          <t>Raddish / Raddish</t>
        </is>
      </c>
      <c r="E197" s="35" t="n">
        <v>3000</v>
      </c>
      <c r="F197" s="35" t="n">
        <v>3500</v>
      </c>
      <c r="G197" s="35" t="n">
        <v>3250</v>
      </c>
      <c r="H197" t="inlineStr">
        <is>
          <t>24/07/2026</t>
        </is>
      </c>
    </row>
    <row r="198">
      <c r="B198" t="inlineStr">
        <is>
          <t>Madurai</t>
        </is>
      </c>
      <c r="C198" t="inlineStr">
        <is>
          <t>Thirumangalam(UzhavarSandhai</t>
        </is>
      </c>
      <c r="D198" t="inlineStr">
        <is>
          <t>Raddish / Raddish</t>
        </is>
      </c>
      <c r="E198" s="35" t="n">
        <v>3000</v>
      </c>
      <c r="F198" s="35" t="n">
        <v>3500</v>
      </c>
      <c r="G198" s="35" t="n">
        <v>3250</v>
      </c>
      <c r="H198" t="inlineStr">
        <is>
          <t>24/07/2026</t>
        </is>
      </c>
    </row>
    <row r="199">
      <c r="B199" t="inlineStr">
        <is>
          <t>Madurai</t>
        </is>
      </c>
      <c r="C199" t="inlineStr">
        <is>
          <t>Palanganatham(UzhavarSandhai</t>
        </is>
      </c>
      <c r="D199" t="inlineStr">
        <is>
          <t>Snakeguard / Snakeguard</t>
        </is>
      </c>
      <c r="E199" s="35" t="n">
        <v>3600</v>
      </c>
      <c r="F199" s="35" t="n">
        <v>4000</v>
      </c>
      <c r="G199" s="35" t="n">
        <v>3800</v>
      </c>
      <c r="H199" t="inlineStr">
        <is>
          <t>24/07/2026</t>
        </is>
      </c>
    </row>
    <row r="200">
      <c r="B200" t="inlineStr">
        <is>
          <t>Madurai</t>
        </is>
      </c>
      <c r="C200" t="inlineStr">
        <is>
          <t>Anna nagar(UzhavarSandhai)</t>
        </is>
      </c>
      <c r="D200" t="inlineStr">
        <is>
          <t>Snakeguard / Snakeguard</t>
        </is>
      </c>
      <c r="E200" s="35" t="n">
        <v>4800</v>
      </c>
      <c r="F200" s="35" t="n">
        <v>4800</v>
      </c>
      <c r="G200" s="35" t="n">
        <v>4800</v>
      </c>
      <c r="H200" t="inlineStr">
        <is>
          <t>24/07/2026</t>
        </is>
      </c>
    </row>
    <row r="201">
      <c r="B201" t="inlineStr">
        <is>
          <t>Madurai</t>
        </is>
      </c>
      <c r="C201" t="inlineStr">
        <is>
          <t>Anaiyur(UzhavarSandhai)</t>
        </is>
      </c>
      <c r="D201" t="inlineStr">
        <is>
          <t>Sweet Potato / Hosur Red</t>
        </is>
      </c>
      <c r="E201" s="35" t="n">
        <v>3000</v>
      </c>
      <c r="F201" s="35" t="n">
        <v>4000</v>
      </c>
      <c r="G201" s="35" t="n">
        <v>3500</v>
      </c>
      <c r="H201" t="inlineStr">
        <is>
          <t>24/07/2026</t>
        </is>
      </c>
    </row>
    <row r="202">
      <c r="B202" t="inlineStr">
        <is>
          <t>Madurai</t>
        </is>
      </c>
      <c r="C202" t="inlineStr">
        <is>
          <t>Anna nagar(UzhavarSandhai)</t>
        </is>
      </c>
      <c r="D202" t="inlineStr">
        <is>
          <t>Sweet Potato / Hosur Red</t>
        </is>
      </c>
      <c r="E202" s="35" t="n">
        <v>4600</v>
      </c>
      <c r="F202" s="35" t="n">
        <v>4600</v>
      </c>
      <c r="G202" s="35" t="n">
        <v>4600</v>
      </c>
      <c r="H202" t="inlineStr">
        <is>
          <t>24/07/2026</t>
        </is>
      </c>
    </row>
    <row r="203">
      <c r="B203" t="inlineStr">
        <is>
          <t>Madurai</t>
        </is>
      </c>
      <c r="C203" t="inlineStr">
        <is>
          <t>Palanganatham(UzhavarSandhai</t>
        </is>
      </c>
      <c r="D203" t="inlineStr">
        <is>
          <t>Thondekai / Thondekai</t>
        </is>
      </c>
      <c r="E203" s="35" t="n">
        <v>4800</v>
      </c>
      <c r="F203" s="35" t="n">
        <v>6000</v>
      </c>
      <c r="G203" s="35" t="n">
        <v>5400</v>
      </c>
      <c r="H203" t="inlineStr">
        <is>
          <t>24/07/2026</t>
        </is>
      </c>
    </row>
    <row r="204">
      <c r="B204" t="inlineStr">
        <is>
          <t>Madurai</t>
        </is>
      </c>
      <c r="C204" t="inlineStr">
        <is>
          <t>Anna nagar(UzhavarSandhai)</t>
        </is>
      </c>
      <c r="D204" t="inlineStr">
        <is>
          <t>Thondekai / Thondekai</t>
        </is>
      </c>
      <c r="E204" s="35" t="n">
        <v>4600</v>
      </c>
      <c r="F204" s="35" t="n">
        <v>4600</v>
      </c>
      <c r="G204" s="35" t="n">
        <v>4600</v>
      </c>
      <c r="H204" t="inlineStr">
        <is>
          <t>24/07/2026</t>
        </is>
      </c>
    </row>
    <row r="205">
      <c r="B205" t="inlineStr">
        <is>
          <t>Madurai</t>
        </is>
      </c>
      <c r="C205" t="inlineStr">
        <is>
          <t>Melur(UzhavarSandhai)</t>
        </is>
      </c>
      <c r="D205" t="inlineStr">
        <is>
          <t>Thondekai / Thondekai</t>
        </is>
      </c>
      <c r="E205" s="35" t="n">
        <v>5500</v>
      </c>
      <c r="F205" s="35" t="n">
        <v>6000</v>
      </c>
      <c r="G205" s="35" t="n">
        <v>5750</v>
      </c>
      <c r="H205" t="inlineStr">
        <is>
          <t>24/07/2026</t>
        </is>
      </c>
    </row>
    <row r="206">
      <c r="B206" t="inlineStr">
        <is>
          <t>Madurai</t>
        </is>
      </c>
      <c r="C206" t="inlineStr">
        <is>
          <t>Anaiyur(UzhavarSandhai)</t>
        </is>
      </c>
      <c r="D206" t="inlineStr">
        <is>
          <t>Thondekai / Thondekai</t>
        </is>
      </c>
      <c r="E206" s="35" t="n">
        <v>4000</v>
      </c>
      <c r="F206" s="35" t="n">
        <v>6000</v>
      </c>
      <c r="G206" s="35" t="n">
        <v>5000</v>
      </c>
      <c r="H206" t="inlineStr">
        <is>
          <t>24/07/2026</t>
        </is>
      </c>
    </row>
    <row r="207">
      <c r="B207" t="inlineStr">
        <is>
          <t>Madurai</t>
        </is>
      </c>
      <c r="C207" t="inlineStr">
        <is>
          <t>Chokkikulam(UzhavarSandhai)</t>
        </is>
      </c>
      <c r="D207" t="inlineStr">
        <is>
          <t>Tomato / Deshi</t>
        </is>
      </c>
      <c r="E207" s="35" t="n">
        <v>1600</v>
      </c>
      <c r="F207" s="35" t="n">
        <v>1800</v>
      </c>
      <c r="G207" s="35" t="n">
        <v>1700</v>
      </c>
      <c r="H207" t="inlineStr">
        <is>
          <t>24/07/2026</t>
        </is>
      </c>
    </row>
    <row r="208">
      <c r="B208" t="inlineStr">
        <is>
          <t>Madurai</t>
        </is>
      </c>
      <c r="C208" t="inlineStr">
        <is>
          <t>Anna nagar(UzhavarSandhai)</t>
        </is>
      </c>
      <c r="D208" t="inlineStr">
        <is>
          <t>Tomato / Other</t>
        </is>
      </c>
      <c r="E208" s="35" t="n">
        <v>2000</v>
      </c>
      <c r="F208" s="35" t="n">
        <v>2000</v>
      </c>
      <c r="G208" s="35" t="n">
        <v>2000</v>
      </c>
      <c r="H208" t="inlineStr">
        <is>
          <t>24/07/2026</t>
        </is>
      </c>
    </row>
    <row r="209">
      <c r="B209" t="inlineStr">
        <is>
          <t>Madurai</t>
        </is>
      </c>
      <c r="C209" t="inlineStr">
        <is>
          <t>Melur(UzhavarSandhai)</t>
        </is>
      </c>
      <c r="D209" t="inlineStr">
        <is>
          <t>Tomato / Deshi</t>
        </is>
      </c>
      <c r="E209" s="35" t="n">
        <v>1600</v>
      </c>
      <c r="F209" s="35" t="n">
        <v>1800</v>
      </c>
      <c r="G209" s="35" t="n">
        <v>1700</v>
      </c>
      <c r="H209" t="inlineStr">
        <is>
          <t>24/07/2026</t>
        </is>
      </c>
    </row>
    <row r="210">
      <c r="B210" t="inlineStr">
        <is>
          <t>Madurai</t>
        </is>
      </c>
      <c r="C210" t="inlineStr">
        <is>
          <t>Anna nagar(UzhavarSandhai)</t>
        </is>
      </c>
      <c r="D210" t="inlineStr">
        <is>
          <t>Water Melon / Water Melon</t>
        </is>
      </c>
      <c r="E210" s="35" t="n">
        <v>3000</v>
      </c>
      <c r="F210" s="35" t="n">
        <v>3000</v>
      </c>
      <c r="G210" s="35" t="n">
        <v>3000</v>
      </c>
      <c r="H210" t="inlineStr">
        <is>
          <t>24/07/2026</t>
        </is>
      </c>
    </row>
    <row r="211">
      <c r="B211" t="inlineStr">
        <is>
          <t>Madurai</t>
        </is>
      </c>
      <c r="C211" t="inlineStr">
        <is>
          <t>Anaiyur(UzhavarSandhai)</t>
        </is>
      </c>
      <c r="D211" t="inlineStr">
        <is>
          <t>Yam(Ratalu) / Yam (Ratalu)</t>
        </is>
      </c>
      <c r="E211" s="35" t="n">
        <v>8000</v>
      </c>
      <c r="F211" s="35" t="n">
        <v>9000</v>
      </c>
      <c r="G211" s="35" t="n">
        <v>8500</v>
      </c>
      <c r="H211" t="inlineStr">
        <is>
          <t>24/07/2026</t>
        </is>
      </c>
    </row>
    <row r="213">
      <c r="B213" s="2" t="inlineStr">
        <is>
          <t>Prices ₹/quintal. Source: data.gov.in resource 9ef84268 (Agmarknet 'Current Daily Prices'), pulled 24/07/2026.</t>
        </is>
      </c>
    </row>
    <row r="214">
      <c r="B214" s="2" t="inlineStr">
        <is>
          <t>Groundnut (green) flags the TN oilseed link — relevant to the edible-oil/RBO thesis and feed (DORB) offtake.</t>
        </is>
      </c>
    </row>
    <row r="215">
      <c r="B215" s="2" t="inlineStr">
        <is>
          <t>Refresh: re-run the Agmarknet pull for updated daily arrivals; e-NAM Madurai/Dindigul needs an India-based connection.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TN Paddy Farmer — Diesel→CNG + CBG Loop Savings</t>
        </is>
      </c>
    </row>
    <row r="3">
      <c r="B3" s="2" t="inlineStr">
        <is>
          <t>The paddy-supplier side: how the CBG loop lowers the farmer's cost of production. TN prices, Jul 2026.</t>
        </is>
      </c>
    </row>
    <row r="5">
      <c r="B5" s="3" t="inlineStr">
        <is>
          <t>1. DIESEL vs CNG TRACTOR — mileage &amp; fuel cost (TN)</t>
        </is>
      </c>
      <c r="C5" s="4" t="n"/>
      <c r="D5" s="4" t="n"/>
      <c r="E5" s="4" t="n"/>
      <c r="F5" s="4" t="n"/>
      <c r="G5" s="4" t="n"/>
      <c r="H5" s="4" t="n"/>
    </row>
    <row r="6">
      <c r="B6" t="inlineStr">
        <is>
          <t>Diesel price (Chennai)</t>
        </is>
      </c>
      <c r="C6" s="38" t="n">
        <v>99.65000000000001</v>
      </c>
      <c r="E6" s="2" t="inlineStr">
        <is>
          <t>₹/litre</t>
        </is>
      </c>
    </row>
    <row r="7">
      <c r="B7" t="inlineStr">
        <is>
          <t>CNG price (Nagapattinam low)</t>
        </is>
      </c>
      <c r="C7" s="38" t="n">
        <v>84.5</v>
      </c>
      <c r="E7" s="2" t="inlineStr">
        <is>
          <t>₹/kg</t>
        </is>
      </c>
    </row>
    <row r="8">
      <c r="B8" t="inlineStr">
        <is>
          <t>Diesel tractor use (field work)</t>
        </is>
      </c>
      <c r="C8" s="38" t="n">
        <v>5</v>
      </c>
      <c r="E8" s="2" t="inlineStr">
        <is>
          <t>litres/hour</t>
        </is>
      </c>
    </row>
    <row r="9">
      <c r="B9" t="inlineStr">
        <is>
          <t>Diesel energy</t>
        </is>
      </c>
      <c r="C9" s="38" t="n">
        <v>38.6</v>
      </c>
      <c r="E9" s="2" t="inlineStr">
        <is>
          <t>MJ/L; CNG 48 MJ/kg</t>
        </is>
      </c>
    </row>
    <row r="10">
      <c r="B10" t="inlineStr">
        <is>
          <t>CNG engine efficiency vs diesel</t>
        </is>
      </c>
      <c r="C10" s="7" t="n">
        <v>0.9</v>
      </c>
      <c r="E10" s="2" t="inlineStr">
        <is>
          <t>spark-ign ~10% less efficient</t>
        </is>
      </c>
    </row>
    <row r="11">
      <c r="B11" t="inlineStr">
        <is>
          <t>→ CNG use (energy-equivalent)</t>
        </is>
      </c>
      <c r="C11" s="15" t="n">
        <v>4.47</v>
      </c>
      <c r="E11" s="2" t="inlineStr">
        <is>
          <t>kg/hr = 5×38.6/48/0.9</t>
        </is>
      </c>
    </row>
    <row r="12">
      <c r="B12" t="inlineStr">
        <is>
          <t>Diesel cost / hour</t>
        </is>
      </c>
      <c r="C12" s="39" t="n">
        <v>498</v>
      </c>
      <c r="E12" s="2" t="inlineStr">
        <is>
          <t>5 L × ₹99.65</t>
        </is>
      </c>
    </row>
    <row r="13">
      <c r="B13" t="inlineStr">
        <is>
          <t>CNG cost / hour</t>
        </is>
      </c>
      <c r="C13" s="37" t="n">
        <v>378</v>
      </c>
      <c r="E13" s="2" t="inlineStr">
        <is>
          <t>4.47 kg × ₹84.50</t>
        </is>
      </c>
    </row>
    <row r="14">
      <c r="B14" t="inlineStr">
        <is>
          <t>Fuel saving / hour (mileage gap)</t>
        </is>
      </c>
      <c r="C14" s="37" t="n">
        <v>120</v>
      </c>
      <c r="E14" s="2" t="inlineStr">
        <is>
          <t>24%</t>
        </is>
      </c>
    </row>
    <row r="15">
      <c r="B15" t="inlineStr">
        <is>
          <t>Field hours / acre (paddy)</t>
        </is>
      </c>
      <c r="C15" s="6" t="n">
        <v>12</v>
      </c>
    </row>
    <row r="16">
      <c r="B16" t="inlineStr">
        <is>
          <t>FUEL SAVING / ACRE / SEASON</t>
        </is>
      </c>
      <c r="C16" s="37" t="n">
        <v>1440</v>
      </c>
      <c r="E16" s="2" t="inlineStr">
        <is>
          <t>12 hr × ₹120</t>
        </is>
      </c>
    </row>
    <row r="17">
      <c r="B17" t="inlineStr">
        <is>
          <t xml:space="preserve">  per hectare</t>
        </is>
      </c>
      <c r="C17" s="35" t="n">
        <v>3600</v>
      </c>
      <c r="E17" s="2" t="inlineStr">
        <is>
          <t>≈ ₹65/qtl at 55 qtl/ha</t>
        </is>
      </c>
    </row>
    <row r="19">
      <c r="B19" s="3" t="inlineStr">
        <is>
          <t>2. BIO-FERTILISER (FOM) — the high-volume application catch</t>
        </is>
      </c>
      <c r="C19" s="4" t="n"/>
      <c r="D19" s="4" t="n"/>
      <c r="E19" s="4" t="n"/>
      <c r="F19" s="4" t="n"/>
      <c r="G19" s="4" t="n"/>
      <c r="H19" s="4" t="n"/>
    </row>
    <row r="20">
      <c r="B20" t="inlineStr">
        <is>
          <t>Chemical fertiliser cost (paddy)</t>
        </is>
      </c>
      <c r="C20" s="6" t="n">
        <v>6000</v>
      </c>
      <c r="E20" s="2" t="inlineStr">
        <is>
          <t>₹/ha</t>
        </is>
      </c>
    </row>
    <row r="21">
      <c r="B21" t="inlineStr">
        <is>
          <t>FOM replaces (% of fertiliser)</t>
        </is>
      </c>
      <c r="C21" s="7" t="n">
        <v>0.15</v>
      </c>
    </row>
    <row r="22">
      <c r="B22" t="inlineStr">
        <is>
          <t>→ fertiliser value saved</t>
        </is>
      </c>
      <c r="C22" s="37" t="n">
        <v>900</v>
      </c>
      <c r="E22" s="2" t="inlineStr">
        <is>
          <t>₹/ha</t>
        </is>
      </c>
    </row>
    <row r="23">
      <c r="B23" t="inlineStr">
        <is>
          <t>FOM volume needed</t>
        </is>
      </c>
      <c r="C23" s="38" t="n">
        <v>8</v>
      </c>
      <c r="E23" s="2" t="inlineStr">
        <is>
          <t>t/ha — FOM ~1-2% N vs urea 46%</t>
        </is>
      </c>
    </row>
    <row r="24">
      <c r="B24" t="inlineStr">
        <is>
          <t>FOM application cost</t>
        </is>
      </c>
      <c r="C24" s="6" t="n">
        <v>400</v>
      </c>
      <c r="E24" s="2" t="inlineStr">
        <is>
          <t>₹/tonne (load+transport+spread)</t>
        </is>
      </c>
    </row>
    <row r="25">
      <c r="B25" t="inlineStr">
        <is>
          <t>→ application cost of the volume</t>
        </is>
      </c>
      <c r="C25" s="40" t="n">
        <v>3200</v>
      </c>
      <c r="E25" s="2" t="inlineStr">
        <is>
          <t>8 t × ₹400</t>
        </is>
      </c>
    </row>
    <row r="26">
      <c r="B26" t="inlineStr">
        <is>
          <t>NET FOM (NPK basis, year 1)</t>
        </is>
      </c>
      <c r="C26" s="40" t="n">
        <v>-2300</v>
      </c>
      <c r="E26" s="2" t="inlineStr">
        <is>
          <t>₹900 saved − ₹3,200 to apply</t>
        </is>
      </c>
    </row>
    <row r="28">
      <c r="B28" s="41" t="inlineStr">
        <is>
          <t>→ THE CATCH: FOM is nutrient-dilute — replacing 15% of fertiliser needs ~8 t/ha of bulky slurry.</t>
        </is>
      </c>
    </row>
    <row r="29">
      <c r="B29" s="42" t="inlineStr">
        <is>
          <t xml:space="preserve">  Spreading that volume costs MORE (₹3,200/ha) than the fertiliser it saves (₹900/ha).</t>
        </is>
      </c>
    </row>
    <row r="30">
      <c r="B30" s="41" t="inlineStr">
        <is>
          <t>→ Turns positive only via: (a) soil-health/organic-carbon yield gain 2-5% over 3-5 yrs (~₹2-4k/ha),</t>
        </is>
      </c>
    </row>
    <row r="31">
      <c r="B31" s="42" t="inlineStr">
        <is>
          <t xml:space="preserve">  (b) near-free FOM from own residue applied close to the CBG plant, (c) PM-PRANAM/FOM support (₹1,500/t).</t>
        </is>
      </c>
    </row>
    <row r="32">
      <c r="B32" s="41" t="inlineStr">
        <is>
          <t>→ HONEST: count FOM as ~break-even year 1 (not a saving); its value is multi-year soil health.</t>
        </is>
      </c>
    </row>
    <row r="34">
      <c r="B34" s="3" t="inlineStr">
        <is>
          <t>3. COMBINED CBG LOOP — net effect on paddy cost of production</t>
        </is>
      </c>
      <c r="C34" s="4" t="n"/>
      <c r="D34" s="4" t="n"/>
      <c r="E34" s="4" t="n"/>
      <c r="F34" s="4" t="n"/>
      <c r="G34" s="4" t="n"/>
      <c r="H34" s="4" t="n"/>
    </row>
    <row r="35">
      <c r="B35" t="inlineStr">
        <is>
          <t>Paddy A2+FL (CACP 2025-26)</t>
        </is>
      </c>
      <c r="C35" s="35" t="n">
        <v>1579</v>
      </c>
      <c r="E35" s="2" t="inlineStr">
        <is>
          <t>₹/qtl</t>
        </is>
      </c>
    </row>
    <row r="36">
      <c r="B36" t="inlineStr">
        <is>
          <t>+ CNG fuel saving</t>
        </is>
      </c>
      <c r="C36" s="37" t="n">
        <v>65</v>
      </c>
      <c r="E36" s="2" t="inlineStr">
        <is>
          <t>₹3,600/ha ÷ 55 qtl</t>
        </is>
      </c>
    </row>
    <row r="37">
      <c r="B37" t="inlineStr">
        <is>
          <t>+ Net residue income (straw→CBG)</t>
        </is>
      </c>
      <c r="C37" s="37" t="n">
        <v>65</v>
      </c>
      <c r="E37" s="2" t="inlineStr">
        <is>
          <t>6t×60%×₹1,000/t ÷ 55 qtl</t>
        </is>
      </c>
    </row>
    <row r="38">
      <c r="B38" t="inlineStr">
        <is>
          <t>+ Net FOM (break-even yr1)</t>
        </is>
      </c>
      <c r="C38" s="35" t="n">
        <v>0</v>
      </c>
      <c r="E38" s="2" t="inlineStr">
        <is>
          <t>long-term soil-health positive, not counted</t>
        </is>
      </c>
    </row>
    <row r="39">
      <c r="B39">
        <f> TOTAL NET BENEFIT</f>
        <v/>
      </c>
      <c r="C39" s="43" t="n">
        <v>130</v>
      </c>
      <c r="E39" s="2" t="inlineStr">
        <is>
          <t>₹/qtl</t>
        </is>
      </c>
    </row>
    <row r="40">
      <c r="B40">
        <f> Net A2+FL improvement</f>
        <v/>
      </c>
      <c r="C40" s="44" t="n">
        <v>0.082</v>
      </c>
      <c r="E40" s="2" t="inlineStr">
        <is>
          <t>8.2% (vs 11.3% before FOM app-cost netted)</t>
        </is>
      </c>
    </row>
    <row r="42">
      <c r="B42" s="41" t="inlineStr">
        <is>
          <t>→ BOTTOM LINE: the CBG loop cuts the TN paddy farmer's net cost of production ~8% —</t>
        </is>
      </c>
    </row>
    <row r="43">
      <c r="B43" s="42" t="inlineStr">
        <is>
          <t xml:space="preserve">  CNG fuel (₹65/qtl) + residue monetisation (₹65/qtl); FOM break-even year 1.</t>
        </is>
      </c>
    </row>
    <row r="44">
      <c r="B44" s="41" t="inlineStr">
        <is>
          <t>→ Fuel-only diesel→CNG swap is ~3-4%; the loop doubles it via residue income. The bio-fertiliser</t>
        </is>
      </c>
    </row>
    <row r="45">
      <c r="B45" s="42" t="inlineStr">
        <is>
          <t xml:space="preserve">  application cost is the drag that stops FOM adding a third leg on a pure-financial basis.</t>
        </is>
      </c>
    </row>
    <row r="46">
      <c r="B46" s="41" t="inlineStr">
        <is>
          <t>→ Lower paddy cost = more competitive paddy supply to the mill (this workbook's feedstock).</t>
        </is>
      </c>
    </row>
    <row r="48">
      <c r="B48" s="2" t="inlineStr">
        <is>
          <t>Sources: TN diesel/CNG Jul 2026; PIB CNG-tractor PRID 1697555; FOM/digestate rates+costs (Farmers Weekly,</t>
        </is>
      </c>
    </row>
    <row r="49">
      <c r="B49" s="2" t="inlineStr">
        <is>
          <t>HomeBiogas, biochem lit.); CACP A2+FL. Mileage gap 24% (energy+efficiency adj.). Illustrative —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2026-07-24T04:40:17Z</dcterms:created>
  <dcterms:modified xmlns:dcterms="http://purl.org/dc/terms/" xmlns:xsi="http://www.w3.org/2001/XMLSchema-instance" xsi:type="dcterms:W3CDTF">2026-07-30T22:08:38Z</dcterms:modified>
</cp:coreProperties>
</file>