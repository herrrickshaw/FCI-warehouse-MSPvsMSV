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er-Line Economics" sheetId="2" state="visible" r:id="rId2"/>
    <sheet xmlns:r="http://schemas.openxmlformats.org/officeDocument/2006/relationships" name="Combined P&amp;L &amp; Returns" sheetId="3" state="visible" r:id="rId3"/>
    <sheet xmlns:r="http://schemas.openxmlformats.org/officeDocument/2006/relationships" name="Coconut-Price Sensitivity" sheetId="4" state="visible" r:id="rId4"/>
    <sheet xmlns:r="http://schemas.openxmlformats.org/officeDocument/2006/relationships" name="Fodder (Oil-Cake) Margin" sheetId="5" state="visible" r:id="rId5"/>
    <sheet xmlns:r="http://schemas.openxmlformats.org/officeDocument/2006/relationships" name="SEA Prices &amp; Sources" sheetId="6" state="visible" r:id="rId6"/>
    <sheet xmlns:r="http://schemas.openxmlformats.org/officeDocument/2006/relationships" name="Fuel Choice — Mill Savings" sheetId="7" state="visible" r:id="rId7"/>
    <sheet xmlns:r="http://schemas.openxmlformats.org/officeDocument/2006/relationships" name="CBG Loop &amp; Doubling Inco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"/>
    <numFmt numFmtId="167" formatCode="+#,##0.00;-#,##0.00"/>
  </numFmts>
  <fonts count="18">
    <font>
      <name val="Calibri"/>
      <family val="2"/>
      <color theme="1"/>
      <sz val="11"/>
      <scheme val="minor"/>
    </font>
    <font>
      <b val="1"/>
      <color rgb="001f5637"/>
      <sz val="14"/>
    </font>
    <font>
      <i val="1"/>
      <color rgb="00888888"/>
      <sz val="9"/>
    </font>
    <font>
      <b val="1"/>
      <color rgb="001f5637"/>
      <sz val="10"/>
    </font>
    <font>
      <b val="1"/>
      <color rgb="00FFFFFF"/>
    </font>
    <font>
      <color rgb="000645ad"/>
    </font>
    <font>
      <b val="1"/>
      <color rgb="002f7a4f"/>
    </font>
    <font>
      <b val="1"/>
      <color rgb="00b03b3b"/>
    </font>
    <font>
      <b val="1"/>
    </font>
    <font>
      <b val="1"/>
      <color rgb="00b7791f"/>
      <sz val="10"/>
    </font>
    <font>
      <color rgb="00000000"/>
      <sz val="10"/>
    </font>
    <font/>
    <font>
      <b val="1"/>
      <color rgb="001f5637"/>
      <sz val="11"/>
    </font>
    <font>
      <b val="1"/>
      <color rgb="002f7a4f"/>
      <sz val="11"/>
    </font>
    <font>
      <b val="1"/>
      <color rgb="00b7791f"/>
    </font>
    <font>
      <sz val="10"/>
    </font>
    <font>
      <b val="1"/>
      <color rgb="00b7791f"/>
      <sz val="9.5"/>
    </font>
    <font>
      <color rgb="00000000"/>
      <sz val="9.5"/>
    </font>
  </fonts>
  <fills count="4">
    <fill>
      <patternFill/>
    </fill>
    <fill>
      <patternFill patternType="gray125"/>
    </fill>
    <fill>
      <patternFill patternType="solid">
        <fgColor rgb="00e6efe7"/>
      </patternFill>
    </fill>
    <fill>
      <patternFill patternType="solid">
        <fgColor rgb="002f7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3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9" fontId="5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3" fillId="0" borderId="0" pivotButton="0" quotePrefix="0" xfId="0"/>
    <xf numFmtId="164" fontId="8" fillId="0" borderId="0" pivotButton="0" quotePrefix="0" xfId="0"/>
    <xf numFmtId="2" fontId="8" fillId="0" borderId="0" pivotButton="0" quotePrefix="0" xfId="0"/>
    <xf numFmtId="166" fontId="7" fillId="0" borderId="0" pivotButton="0" quotePrefix="0" xfId="0"/>
    <xf numFmtId="166" fontId="14" fillId="0" borderId="0" pivotButton="0" quotePrefix="0" xfId="0"/>
    <xf numFmtId="166" fontId="6" fillId="0" borderId="0" pivotButton="0" quotePrefix="0" xfId="0"/>
    <xf numFmtId="3" fontId="0" fillId="0" borderId="0" pivotButton="0" quotePrefix="0" xfId="0"/>
    <xf numFmtId="165" fontId="6" fillId="0" borderId="0" pivotButton="0" quotePrefix="0" xfId="0"/>
    <xf numFmtId="0" fontId="15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167" fontId="0" fillId="0" borderId="0" pivotButton="0" quotePrefix="0" xfId="0"/>
    <xf numFmtId="4" fontId="14" fillId="0" borderId="0" pivotButton="0" quotePrefix="0" xfId="0"/>
    <xf numFmtId="4" fontId="7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TN Combined Edible-Oil Mill — RBO + Groundnut + Coconut</t>
        </is>
      </c>
    </row>
    <row r="3">
      <c r="B3" s="2" t="inlineStr">
        <is>
          <t>Multi-feedstock solvent extraction + expeller + refinery. SEA/market prices, 2026. Blue=editable. Coimbatore/Dindigul/Pollachi oil belt.</t>
        </is>
      </c>
    </row>
    <row r="5">
      <c r="B5" s="3" t="inlineStr">
        <is>
          <t>THREE FEEDSTOCK LINES (shared solvent extraction + refining + husk boiler)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B6" s="5" t="inlineStr">
        <is>
          <t>Line</t>
        </is>
      </c>
      <c r="C6" s="5" t="inlineStr">
        <is>
          <t>Feedstock</t>
        </is>
      </c>
      <c r="D6" s="5" t="inlineStr">
        <is>
          <t>₹/t feed</t>
        </is>
      </c>
      <c r="E6" s="5" t="inlineStr">
        <is>
          <t>Vol t/yr</t>
        </is>
      </c>
      <c r="F6" s="5" t="inlineStr">
        <is>
          <t>Oil yield</t>
        </is>
      </c>
      <c r="G6" s="5" t="inlineStr">
        <is>
          <t>Oil ₹/t</t>
        </is>
      </c>
      <c r="H6" s="5" t="inlineStr">
        <is>
          <t>Cake ₹/t</t>
        </is>
      </c>
    </row>
    <row r="7">
      <c r="B7" t="inlineStr">
        <is>
          <t>Rice bran</t>
        </is>
      </c>
      <c r="C7" t="inlineStr">
        <is>
          <t>Rice bran (captive+bought)</t>
        </is>
      </c>
      <c r="D7" s="6" t="n">
        <v>20000</v>
      </c>
      <c r="E7" s="6" t="n">
        <v>6000</v>
      </c>
      <c r="F7" s="7" t="n">
        <v>0.17</v>
      </c>
      <c r="G7" s="6" t="n">
        <v>110000</v>
      </c>
      <c r="H7" s="6" t="n">
        <v>13000</v>
      </c>
    </row>
    <row r="8">
      <c r="B8" t="inlineStr">
        <is>
          <t>Groundnut</t>
        </is>
      </c>
      <c r="C8" t="inlineStr">
        <is>
          <t>Groundnut kernel</t>
        </is>
      </c>
      <c r="D8" s="6" t="n">
        <v>90000</v>
      </c>
      <c r="E8" s="6" t="n">
        <v>2500</v>
      </c>
      <c r="F8" s="7" t="n">
        <v>0.45</v>
      </c>
      <c r="G8" s="6" t="n">
        <v>175000</v>
      </c>
      <c r="H8" s="6" t="n">
        <v>32000</v>
      </c>
    </row>
    <row r="9">
      <c r="B9" t="inlineStr">
        <is>
          <t>Copra</t>
        </is>
      </c>
      <c r="C9" t="inlineStr">
        <is>
          <t>Copra (milling)</t>
        </is>
      </c>
      <c r="D9" s="6" t="n">
        <v>120000</v>
      </c>
      <c r="E9" s="6" t="n">
        <v>3000</v>
      </c>
      <c r="F9" s="7" t="n">
        <v>0.63</v>
      </c>
      <c r="G9" s="6" t="n">
        <v>250000</v>
      </c>
      <c r="H9" s="6" t="n">
        <v>42000</v>
      </c>
    </row>
    <row r="11">
      <c r="B11" s="3" t="inlineStr">
        <is>
          <t>SHARED COSTS &amp; CAPITAL (₹ cr)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t="inlineStr">
        <is>
          <t>Processing (₹/t feed: solvent+expeller+refine)</t>
        </is>
      </c>
      <c r="C12" s="6" t="n">
        <v>7000</v>
      </c>
      <c r="F12" s="2" t="inlineStr">
        <is>
          <t>husk-fired boiler from rice mill</t>
        </is>
      </c>
    </row>
    <row r="13">
      <c r="B13" t="inlineStr">
        <is>
          <t>SG&amp;A (% revenue)</t>
        </is>
      </c>
      <c r="C13" s="7" t="n">
        <v>0.03</v>
      </c>
    </row>
    <row r="14">
      <c r="B14" t="inlineStr">
        <is>
          <t>Project cost (extraction+expeller+refinery)</t>
        </is>
      </c>
      <c r="C14" s="8" t="n">
        <v>10</v>
      </c>
    </row>
    <row r="15">
      <c r="B15" t="inlineStr">
        <is>
          <t>Working capital (feedstock, seasonal)</t>
        </is>
      </c>
      <c r="C15" s="8" t="n">
        <v>15</v>
      </c>
      <c r="F15" s="2" t="inlineStr">
        <is>
          <t>copra+groundnut seasonal</t>
        </is>
      </c>
    </row>
    <row r="16">
      <c r="B16" t="inlineStr">
        <is>
          <t>Capital subsidy (TN 25% + MoFPI PMFME)</t>
        </is>
      </c>
      <c r="C16" s="9" t="n">
        <v>0.35</v>
      </c>
    </row>
    <row r="17">
      <c r="B17" t="inlineStr">
        <is>
          <t>Equity / Term loan</t>
        </is>
      </c>
      <c r="C17" s="10" t="inlineStr">
        <is>
          <t>20% / 45%</t>
        </is>
      </c>
    </row>
    <row r="18">
      <c r="B18" t="inlineStr">
        <is>
          <t>Lending rate / Tax</t>
        </is>
      </c>
      <c r="C18" s="10" t="inlineStr">
        <is>
          <t>10.5% / 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Per-line gross margin — coconut carries the mill</t>
        </is>
      </c>
    </row>
    <row r="3">
      <c r="B3" s="2" t="inlineStr">
        <is>
          <t>The insight: the three lines have very different economics. One profit engine, one steady, one loss-leader.</t>
        </is>
      </c>
    </row>
    <row r="5">
      <c r="B5" s="5" t="inlineStr">
        <is>
          <t>Line</t>
        </is>
      </c>
      <c r="C5" s="5" t="inlineStr">
        <is>
          <t>Revenue ₹cr</t>
        </is>
      </c>
      <c r="D5" s="5" t="inlineStr">
        <is>
          <t>Feed cost</t>
        </is>
      </c>
      <c r="E5" s="5" t="inlineStr">
        <is>
          <t>Proc cost</t>
        </is>
      </c>
      <c r="F5" s="5" t="inlineStr">
        <is>
          <t>Gross margin</t>
        </is>
      </c>
      <c r="G5" s="5" t="inlineStr">
        <is>
          <t>GM %</t>
        </is>
      </c>
      <c r="H5" s="5" t="inlineStr">
        <is>
          <t>₹/t feed</t>
        </is>
      </c>
    </row>
    <row r="6">
      <c r="B6" t="inlineStr">
        <is>
          <t>Rice bran → RBO</t>
        </is>
      </c>
      <c r="C6" s="11" t="n">
        <v>17.694</v>
      </c>
      <c r="D6" s="11" t="n">
        <v>12</v>
      </c>
      <c r="E6" s="11" t="n">
        <v>4.2</v>
      </c>
      <c r="F6" s="11" t="n">
        <v>1.493999999999999</v>
      </c>
      <c r="G6" s="12" t="n">
        <v>0.08443540183112913</v>
      </c>
      <c r="H6" s="13" t="n">
        <v>1.493999999999999</v>
      </c>
      <c r="I6" s="14" t="n">
        <v>0.08443540183112913</v>
      </c>
    </row>
    <row r="7">
      <c r="B7" t="inlineStr">
        <is>
          <t>Groundnut → oil</t>
        </is>
      </c>
      <c r="C7" s="11" t="n">
        <v>24.0875</v>
      </c>
      <c r="D7" s="11" t="n">
        <v>22.5</v>
      </c>
      <c r="E7" s="11" t="n">
        <v>1.75</v>
      </c>
      <c r="F7" s="11" t="n">
        <v>-0.1625000000000014</v>
      </c>
      <c r="G7" s="12" t="n">
        <v>-0.006746237675142768</v>
      </c>
      <c r="H7" s="15" t="n">
        <v>-0.1625000000000014</v>
      </c>
      <c r="I7" s="16" t="n">
        <v>-0.006746237675142768</v>
      </c>
    </row>
    <row r="8">
      <c r="B8" t="inlineStr">
        <is>
          <t>Copra → coconut oil</t>
        </is>
      </c>
      <c r="C8" s="11" t="n">
        <v>51.912</v>
      </c>
      <c r="D8" s="11" t="n">
        <v>36</v>
      </c>
      <c r="E8" s="11" t="n">
        <v>2.1</v>
      </c>
      <c r="F8" s="11" t="n">
        <v>13.812</v>
      </c>
      <c r="G8" s="12" t="n">
        <v>0.2660656495607952</v>
      </c>
      <c r="H8" s="13" t="n">
        <v>13.812</v>
      </c>
      <c r="I8" s="14" t="n">
        <v>0.2660656495607952</v>
      </c>
    </row>
    <row r="9">
      <c r="B9" s="17" t="inlineStr">
        <is>
          <t>COMBINED</t>
        </is>
      </c>
      <c r="C9" s="18" t="n">
        <v>93.6935</v>
      </c>
      <c r="D9" s="18" t="n">
        <v>70.5</v>
      </c>
      <c r="E9" s="18" t="n">
        <v>8.050000000000001</v>
      </c>
      <c r="F9" s="18" t="n">
        <v>15.1435</v>
      </c>
    </row>
    <row r="11">
      <c r="B11" s="19" t="inlineStr">
        <is>
          <t>→ COCONUT OIL is the profit engine (+25% GM): TN's Pollachi/Dindigul copra belt, coconut oil ₹250/kg.</t>
        </is>
      </c>
    </row>
    <row r="12">
      <c r="B12" s="19" t="inlineStr">
        <is>
          <t>→ RICE BRAN OIL is steady thin-positive (+8%): bran ₹20/kg captive from the rice mill; the reliable base.</t>
        </is>
      </c>
    </row>
    <row r="13">
      <c r="B13" s="19" t="inlineStr">
        <is>
          <t>→ GROUNDNUT OIL loses at current prices (−4%): kernel ₹90/kg is dear vs oil ₹175/kg — kept as TN's</t>
        </is>
      </c>
    </row>
    <row r="14">
      <c r="B14" s="20" t="inlineStr">
        <is>
          <t xml:space="preserve">   traditional cooking oil for the product basket, cross-subsidised by coconut. Pays only if oil &gt;₹185/kg.</t>
        </is>
      </c>
    </row>
    <row r="15">
      <c r="B15" s="19" t="inlineStr">
        <is>
          <t>→ The combined mill works because coconut + shared infrastructure (one solvent+refinery, husk boiler)</t>
        </is>
      </c>
    </row>
    <row r="16">
      <c r="B16" s="20" t="inlineStr">
        <is>
          <t xml:space="preserve">   subsidise the strategic groundnut line and diversify feedstock-price risk across three TN crops.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Combined P&amp;L and returns (₹ crore, steady state)</t>
        </is>
      </c>
    </row>
    <row r="6">
      <c r="B6" s="17" t="inlineStr">
        <is>
          <t>Revenue (3 oils + 3 cakes)</t>
        </is>
      </c>
      <c r="C6" s="18" t="n">
        <v>93.6935</v>
      </c>
    </row>
    <row r="7">
      <c r="B7" s="21" t="inlineStr">
        <is>
          <t xml:space="preserve">  Feedstock cost</t>
        </is>
      </c>
      <c r="C7" s="11" t="n">
        <v>70.5</v>
      </c>
    </row>
    <row r="8">
      <c r="B8" s="21" t="inlineStr">
        <is>
          <t xml:space="preserve">  Processing (shared)</t>
        </is>
      </c>
      <c r="C8" s="11" t="n">
        <v>8.050000000000001</v>
      </c>
    </row>
    <row r="9">
      <c r="B9" s="21" t="inlineStr">
        <is>
          <t xml:space="preserve">  SG&amp;A</t>
        </is>
      </c>
      <c r="C9" s="11" t="n">
        <v>2.810805</v>
      </c>
    </row>
    <row r="10">
      <c r="B10" s="17" t="inlineStr">
        <is>
          <t>EBITDA</t>
        </is>
      </c>
      <c r="C10" s="18" t="n">
        <v>12.332695</v>
      </c>
    </row>
    <row r="11">
      <c r="B11" s="21" t="inlineStr">
        <is>
          <t xml:space="preserve">  EBITDA margin</t>
        </is>
      </c>
      <c r="C11" s="12" t="n">
        <v>0.1316280745195771</v>
      </c>
    </row>
    <row r="12">
      <c r="B12" s="21" t="inlineStr">
        <is>
          <t xml:space="preserve">  Depreciation</t>
        </is>
      </c>
      <c r="C12" s="11" t="n">
        <v>1</v>
      </c>
    </row>
    <row r="13">
      <c r="B13" s="17" t="inlineStr">
        <is>
          <t>EBIT</t>
        </is>
      </c>
      <c r="C13" s="18" t="n">
        <v>11.332695</v>
      </c>
    </row>
    <row r="14">
      <c r="B14" s="21" t="inlineStr">
        <is>
          <t xml:space="preserve">  Interest (loan+WC)</t>
        </is>
      </c>
      <c r="C14" s="11" t="n">
        <v>2.0475</v>
      </c>
    </row>
    <row r="15">
      <c r="B15" s="21" t="inlineStr">
        <is>
          <t>PBT</t>
        </is>
      </c>
      <c r="C15" s="11" t="n">
        <v>9.285195</v>
      </c>
    </row>
    <row r="16">
      <c r="B16" s="21" t="inlineStr">
        <is>
          <t xml:space="preserve">  Tax</t>
        </is>
      </c>
      <c r="C16" s="11" t="n">
        <v>2.32129875</v>
      </c>
    </row>
    <row r="17">
      <c r="B17" s="17" t="inlineStr">
        <is>
          <t>PAT</t>
        </is>
      </c>
      <c r="C17" s="18" t="n">
        <v>6.963896249999999</v>
      </c>
    </row>
    <row r="18">
      <c r="B18" s="21" t="inlineStr">
        <is>
          <t xml:space="preserve">  Net margin</t>
        </is>
      </c>
      <c r="C18" s="12" t="n">
        <v>0.07432635401602032</v>
      </c>
    </row>
    <row r="20">
      <c r="B20" s="3" t="inlineStr">
        <is>
          <t>RETURNS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B21" s="22" t="inlineStr">
        <is>
          <t>Project IRR</t>
        </is>
      </c>
      <c r="C21" s="23" t="n">
        <v>0.4118458698259618</v>
      </c>
      <c r="F21" s="2" t="inlineStr">
        <is>
          <t>coconut-driven; see sensitivity</t>
        </is>
      </c>
    </row>
    <row r="22">
      <c r="B22" s="17" t="inlineStr">
        <is>
          <t>ROCE (steady)</t>
        </is>
      </c>
      <c r="C22" s="24" t="n">
        <v>0.4533078</v>
      </c>
    </row>
    <row r="23">
      <c r="B23" s="17" t="inlineStr">
        <is>
          <t>DSCR (steady)</t>
        </is>
      </c>
      <c r="C23" s="25" t="n">
        <v>3.721214589141112</v>
      </c>
    </row>
    <row r="24">
      <c r="B24" s="17" t="inlineStr">
        <is>
          <t>EBITDA / PAT margin</t>
        </is>
      </c>
      <c r="C24" s="24" t="n">
        <v>0.1316280745195771</v>
      </c>
      <c r="F24" s="2" t="inlineStr">
        <is>
          <t>PAT 7.4%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Sensitivity: EBITDA vs coconut oil price — the swing factor</t>
        </is>
      </c>
    </row>
    <row r="3">
      <c r="B3" s="2" t="inlineStr">
        <is>
          <t>Coconut oil swung ₹200-480/kg ($2,197-4,840/t) in 2025. The mill's return rides on it.</t>
        </is>
      </c>
    </row>
    <row r="6">
      <c r="B6" s="17" t="inlineStr">
        <is>
          <t>Coconut oil ₹/kg →</t>
        </is>
      </c>
      <c r="C6" s="17" t="n">
        <v>200</v>
      </c>
      <c r="D6" s="17" t="n">
        <v>225</v>
      </c>
      <c r="E6" s="17" t="n">
        <v>250</v>
      </c>
      <c r="F6" s="17" t="n">
        <v>275</v>
      </c>
      <c r="G6" s="17" t="n">
        <v>300</v>
      </c>
    </row>
    <row r="7">
      <c r="B7" s="17" t="inlineStr">
        <is>
          <t>Combined EBITDA ₹cr</t>
        </is>
      </c>
      <c r="C7" s="26" t="n">
        <v>2.882695000000001</v>
      </c>
      <c r="D7" s="27" t="n">
        <v>7.607694999999994</v>
      </c>
      <c r="E7" s="28" t="n">
        <v>12.332695</v>
      </c>
      <c r="F7" s="28" t="n">
        <v>17.057695</v>
      </c>
      <c r="G7" s="28" t="n">
        <v>21.782695</v>
      </c>
    </row>
    <row r="9">
      <c r="B9" s="19" t="inlineStr">
        <is>
          <t>→ At ₹200/kg coconut oil (the 2026 low), combined EBITDA collapses — the coconut margin is the buffer.</t>
        </is>
      </c>
    </row>
    <row r="10">
      <c r="B10" s="19" t="inlineStr">
        <is>
          <t>→ Groundnut and RBO lines alone (~₹0.6cr GM) cannot carry the ₹10cr capex + ₹15cr WC.</t>
        </is>
      </c>
    </row>
    <row r="11">
      <c r="B11" s="19" t="inlineStr">
        <is>
          <t>→ MITIGANTS: copra procurement timing (buy at MSP ₹11,582/qtl floor), coconut oil branding (virgin/</t>
        </is>
      </c>
    </row>
    <row r="12">
      <c r="B12" s="20" t="inlineStr">
        <is>
          <t xml:space="preserve">   cold-pressed premium ₹350-500/kg), and the RBO line as the stable base. Hedge copra via forward buys.</t>
        </is>
      </c>
    </row>
    <row r="13">
      <c r="B13" s="19" t="inlineStr">
        <is>
          <t>→ This is why multi-feedstock helps but does not eliminate the coconut-price exposure — size the WC and</t>
        </is>
      </c>
    </row>
    <row r="14">
      <c r="B14" s="20" t="inlineStr">
        <is>
          <t xml:space="preserve">   debt conservatively against a ₹225/kg coconut oil base, not the peak.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Fodder margin — the oil cake that makes the mill viable</t>
        </is>
      </c>
    </row>
    <row r="3">
      <c r="B3" s="2" t="inlineStr">
        <is>
          <t>Oil cakes sold as cattle/poultry feed = 17% of revenue and the STABLE base. Without it, oil-only EBITDA is negative.</t>
        </is>
      </c>
    </row>
    <row r="5">
      <c r="B5" s="5" t="inlineStr">
        <is>
          <t>Oil cake (fodder)</t>
        </is>
      </c>
      <c r="C5" s="5" t="inlineStr">
        <is>
          <t>From line</t>
        </is>
      </c>
      <c r="D5" s="5" t="inlineStr">
        <is>
          <t>Volume t/yr</t>
        </is>
      </c>
      <c r="E5" s="5" t="inlineStr">
        <is>
          <t>Feed ₹/kg</t>
        </is>
      </c>
      <c r="F5" s="5" t="inlineStr">
        <is>
          <t>Protein</t>
        </is>
      </c>
      <c r="G5" s="5" t="inlineStr">
        <is>
          <t>Revenue ₹cr</t>
        </is>
      </c>
      <c r="H5" s="5" t="inlineStr">
        <is>
          <t>TN buyer</t>
        </is>
      </c>
    </row>
    <row r="6">
      <c r="B6" t="inlineStr">
        <is>
          <t>DORB (de-oiled rice bran)</t>
        </is>
      </c>
      <c r="C6" t="inlineStr">
        <is>
          <t>Rice bran</t>
        </is>
      </c>
      <c r="D6" s="29" t="n">
        <v>4980</v>
      </c>
      <c r="E6" s="29" t="n">
        <v>13</v>
      </c>
      <c r="F6" t="inlineStr">
        <is>
          <t>~15%</t>
        </is>
      </c>
      <c r="G6" s="11" t="n">
        <v>6.474</v>
      </c>
      <c r="H6" t="inlineStr">
        <is>
          <t>Aavin dairy / aqua feed</t>
        </is>
      </c>
    </row>
    <row r="7">
      <c r="B7" t="inlineStr">
        <is>
          <t>Groundnut cake / DOC</t>
        </is>
      </c>
      <c r="C7" t="inlineStr">
        <is>
          <t>Groundnut</t>
        </is>
      </c>
      <c r="D7" s="29" t="n">
        <v>1375</v>
      </c>
      <c r="E7" s="29" t="n">
        <v>32</v>
      </c>
      <c r="F7" t="inlineStr">
        <is>
          <t>40-50%</t>
        </is>
      </c>
      <c r="G7" s="11" t="n">
        <v>4.4</v>
      </c>
      <c r="H7" t="inlineStr">
        <is>
          <t>Namakkal poultry (premium protein)</t>
        </is>
      </c>
    </row>
    <row r="8">
      <c r="B8" t="inlineStr">
        <is>
          <t>Coconut oil cake (poonac)</t>
        </is>
      </c>
      <c r="C8" t="inlineStr">
        <is>
          <t>Copra</t>
        </is>
      </c>
      <c r="D8" s="29" t="n">
        <v>1110</v>
      </c>
      <c r="E8" s="29" t="n">
        <v>42</v>
      </c>
      <c r="F8" t="inlineStr">
        <is>
          <t>~20%</t>
        </is>
      </c>
      <c r="G8" s="11" t="n">
        <v>4.662</v>
      </c>
      <c r="H8" t="inlineStr">
        <is>
          <t>Aavin cattle / Kangayam cattle</t>
        </is>
      </c>
    </row>
    <row r="9">
      <c r="B9" s="17" t="inlineStr">
        <is>
          <t>TOTAL FODDER REVENUE</t>
        </is>
      </c>
      <c r="G9" s="30" t="n">
        <v>15.536</v>
      </c>
    </row>
    <row r="11">
      <c r="B11" s="3" t="inlineStr">
        <is>
          <t>WHY FODDER IS ESSENTIAL, NOT INCREMENTAL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20" t="inlineStr">
        <is>
          <t>Oil revenue only:                 ₹78.2 cr</t>
        </is>
      </c>
    </row>
    <row r="13">
      <c r="B13" s="20" t="inlineStr">
        <is>
          <t>+ Fodder (oil-cake) revenue:      ₹15.5 cr (17%)</t>
        </is>
      </c>
    </row>
    <row r="14">
      <c r="B14" s="20">
        <f> Total revenue:                  ₹93.7 cr</f>
        <v/>
      </c>
    </row>
    <row r="15">
      <c r="B15" s="20" t="inlineStr"/>
    </row>
    <row r="16">
      <c r="B16" s="19" t="inlineStr">
        <is>
          <t>→ EBITDA with fodder:   +₹12.3 cr (13.2%)</t>
        </is>
      </c>
    </row>
    <row r="17">
      <c r="B17" s="19" t="inlineStr">
        <is>
          <t>→ EBITDA WITHOUT fodder: about -₹3 cr (LOSS)</t>
        </is>
      </c>
    </row>
    <row r="18">
      <c r="B18" s="20" t="inlineStr">
        <is>
          <t>The oil cake is the difference between a loss-making and a profitable mill — the classic crush-margin</t>
        </is>
      </c>
    </row>
    <row r="19">
      <c r="B19" s="20" t="inlineStr">
        <is>
          <t>reality (oil + meal - seed). It also makes the groundnut line viable (better cake price lifts it from -4% to -1%).</t>
        </is>
      </c>
    </row>
    <row r="20">
      <c r="B20" s="20" t="inlineStr"/>
    </row>
    <row r="21">
      <c r="B21" s="19" t="inlineStr">
        <is>
          <t>→ STABLE base: feed prices do NOT swing like coconut oil (which moved 2x in 2025). Fodder is the</t>
        </is>
      </c>
    </row>
    <row r="22">
      <c r="B22" s="20" t="inlineStr">
        <is>
          <t xml:space="preserve">  de-risker against oil-price volatility — steady ₹15.5 cr floor.</t>
        </is>
      </c>
    </row>
    <row r="23">
      <c r="B23" s="19" t="inlineStr">
        <is>
          <t>→ CAPTIVE local demand: Namakkal (India's #2 egg centre, 80% of TN layer farms) + Aavin dairy</t>
        </is>
      </c>
    </row>
    <row r="24">
      <c r="B24" s="20" t="inlineStr">
        <is>
          <t xml:space="preserve">  (Erode cattle-feed plant 150 MT/day, offtake up 20x in 8 yrs) are IN the oil belt — minimal logistics.</t>
        </is>
      </c>
    </row>
    <row r="25">
      <c r="B25" s="19" t="inlineStr">
        <is>
          <t>→ Groundnut cake (40-50% protein) commands the premium; DORB and coconut cake are volume feed.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Prices, SEA references &amp; sources</t>
        </is>
      </c>
    </row>
    <row r="5">
      <c r="B5" s="31" t="inlineStr">
        <is>
          <t>FEEDSTOCK &amp; OIL PRICES (₹/tonne, TN/SEA/market 2026)</t>
        </is>
      </c>
    </row>
    <row r="6">
      <c r="B6" s="31" t="inlineStr">
        <is>
          <t>• Rice bran ₹20,000 (Coimbatore); Refined RBO ₹110,000 (SEA daily rate band); DORB ₹13,000.</t>
        </is>
      </c>
    </row>
    <row r="7">
      <c r="B7" s="31" t="inlineStr">
        <is>
          <t>• Groundnut kernel ₹90,000 (Madurai mandi pod ₹6,500/qtl → kernel); Filtered groundnut oil ₹175,000;</t>
        </is>
      </c>
    </row>
    <row r="8">
      <c r="B8" s="31" t="inlineStr">
        <is>
          <t xml:space="preserve">  groundnut cake/DOC ₹27,000 (40-50% protein, IndiaMART Gujarat/TN).</t>
        </is>
      </c>
    </row>
    <row r="9">
      <c r="B9" s="31" t="inlineStr">
        <is>
          <t>• Copra (milling) ₹120,000 — near MSP ₹11,582/qtl (2025 season); Pollachi mandi range ₹4,700-15,349;</t>
        </is>
      </c>
    </row>
    <row r="10">
      <c r="B10" s="31" t="inlineStr">
        <is>
          <t xml:space="preserve">  Coconut oil ₹250,000 (Indian premium; global $2,197-2,836/t, India premium 2x); coconut cake ₹35,000.</t>
        </is>
      </c>
    </row>
    <row r="11">
      <c r="B11" s="31" t="inlineStr">
        <is>
          <t>• Oil yields: RBO 16-18% of bran; groundnut 42-48% of kernel; coconut 60-68% of copra (≈63% used).</t>
        </is>
      </c>
    </row>
    <row r="12">
      <c r="B12" s="31" t="inlineStr"/>
    </row>
    <row r="13">
      <c r="B13" s="31" t="inlineStr">
        <is>
          <t>WHY A COMBINED MILL (TN logic)</t>
        </is>
      </c>
    </row>
    <row r="14">
      <c r="B14" s="31" t="inlineStr">
        <is>
          <t>• Coimbatore-Dindigul-Pollachi is India's edible-oil milling belt — copra + groundnut are TN's own crops,</t>
        </is>
      </c>
    </row>
    <row r="15">
      <c r="B15" s="31" t="inlineStr">
        <is>
          <t xml:space="preserve">  rice bran comes captive from the paddy mill (Cauvery delta). One solvent-extraction + refinery line and</t>
        </is>
      </c>
    </row>
    <row r="16">
      <c r="B16" s="31" t="inlineStr">
        <is>
          <t xml:space="preserve">  a husk-fired boiler serve all three → shared capex, diversified feedstock-price risk.</t>
        </is>
      </c>
    </row>
    <row r="17">
      <c r="B17" s="31" t="inlineStr">
        <is>
          <t>• Coconut is the earner; RBO the steady base; groundnut the strategic/traditional line.</t>
        </is>
      </c>
    </row>
    <row r="18">
      <c r="B18" s="31" t="inlineStr"/>
    </row>
    <row r="19">
      <c r="B19" s="31" t="inlineStr">
        <is>
          <t>SEA (Solvent Extractors' Association of India)</t>
        </is>
      </c>
    </row>
    <row r="20">
      <c r="B20" s="31" t="inlineStr">
        <is>
          <t>• seaofindia.com publishes daily oil rates, oilmeal export data, and crop estimates — the industry price</t>
        </is>
      </c>
    </row>
    <row r="21">
      <c r="B21" s="31" t="inlineStr">
        <is>
          <t xml:space="preserve">  reference. ~350 member plants, ~30 MT crush capacity. Use SEA daily rates to refresh the oil-price inputs.</t>
        </is>
      </c>
    </row>
    <row r="22">
      <c r="B22" s="31" t="inlineStr"/>
    </row>
    <row r="23">
      <c r="B23" s="31" t="inlineStr">
        <is>
          <t>RETURNS (honest)</t>
        </is>
      </c>
    </row>
    <row r="24">
      <c r="B24" s="31" t="inlineStr">
        <is>
          <t>• Combined EBITDA ~12%, PAT ~6%, Project IRR ~37% — but coconut-price-driven and</t>
        </is>
      </c>
    </row>
    <row r="25">
      <c r="B25" s="31" t="inlineStr">
        <is>
          <t xml:space="preserve">  volatile (see sensitivity). Groundnut line is loss-making at current prices; coconut + shared infra carry it.</t>
        </is>
      </c>
    </row>
    <row r="26">
      <c r="B26" s="31" t="inlineStr">
        <is>
          <t>• Attractive but NOT low-risk: copra/coconut price swings are the dominant variable. Size debt against ₹225/kg.</t>
        </is>
      </c>
    </row>
    <row r="27">
      <c r="B27" s="31" t="inlineStr"/>
    </row>
    <row r="28">
      <c r="B28" s="31" t="inlineStr">
        <is>
          <t>SOURCES: SEA (seaofindia.com); copra MSP PIB PRID 2086629; Pollachi/TN copra &amp; coconut-oil-cake (commodityonline,</t>
        </is>
      </c>
    </row>
    <row r="29">
      <c r="B29" s="31" t="inlineStr">
        <is>
          <t>IndiaMART Coimbatore); groundnut (Agmarknet Madurai + IndiaMART); RBO/DORB (Business Standard, IndiaMART);</t>
        </is>
      </c>
    </row>
    <row r="30">
      <c r="B30" s="31" t="inlineStr">
        <is>
          <t>coconut oil global (AgroReview/Statista Q1-2026). Illustrative — a bankable DPR needs firm machinery quotes. Not investment advice.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Fuel choice for the mill — the hidden margin lever</t>
        </is>
      </c>
    </row>
    <row r="3">
      <c r="B3" s="2" t="inlineStr">
        <is>
          <t>The mill's energy can cost ₹0.5 or ₹28 per kWh depending on fuel. Captive husk/CBG vs grid/diesel = ₹2.7-7.9 cr/yr.</t>
        </is>
      </c>
    </row>
    <row r="5">
      <c r="B5" s="3" t="inlineStr">
        <is>
          <t>MILL ENERGY NEED</t>
        </is>
      </c>
      <c r="C5" s="4" t="n"/>
      <c r="D5" s="4" t="n"/>
      <c r="E5" s="4" t="n"/>
      <c r="F5" s="4" t="n"/>
      <c r="G5" s="4" t="n"/>
      <c r="H5" s="4" t="n"/>
    </row>
    <row r="6">
      <c r="B6" t="inlineStr">
        <is>
          <t>Feedstock processed / yr (t)</t>
        </is>
      </c>
      <c r="C6" s="6" t="n">
        <v>11500</v>
      </c>
    </row>
    <row r="7">
      <c r="B7" t="inlineStr">
        <is>
          <t>Energy intensity (kWh-eq/t, steam+power)</t>
        </is>
      </c>
      <c r="C7" s="6" t="n">
        <v>250</v>
      </c>
      <c r="E7" s="2" t="inlineStr">
        <is>
          <t>solvent extraction + refining</t>
        </is>
      </c>
    </row>
    <row r="8">
      <c r="B8" t="inlineStr">
        <is>
          <t>Total energy need (M kWh/yr)</t>
        </is>
      </c>
      <c r="C8" s="32" t="n">
        <v>2.88</v>
      </c>
    </row>
    <row r="10">
      <c r="B10" s="3" t="inlineStr">
        <is>
          <t>FUEL OPTIONS — cost of the same 2.88 M kWh</t>
        </is>
      </c>
      <c r="C10" s="4" t="n"/>
      <c r="D10" s="4" t="n"/>
      <c r="E10" s="4" t="n"/>
      <c r="F10" s="4" t="n"/>
      <c r="G10" s="4" t="n"/>
      <c r="H10" s="4" t="n"/>
    </row>
    <row r="11">
      <c r="B11" s="5" t="inlineStr">
        <is>
          <t>Fuel choice</t>
        </is>
      </c>
      <c r="C11" s="5" t="inlineStr">
        <is>
          <t>₹/kWh</t>
        </is>
      </c>
      <c r="D11" s="5" t="inlineStr">
        <is>
          <t>₹ cr/yr</t>
        </is>
      </c>
      <c r="E11" s="5" t="inlineStr">
        <is>
          <t>vs husk</t>
        </is>
      </c>
    </row>
    <row r="12">
      <c r="B12" t="inlineStr">
        <is>
          <t>CBG (own de-oiled cake/residue)</t>
        </is>
      </c>
      <c r="C12" s="32" t="n">
        <v>0.45</v>
      </c>
      <c r="D12" s="33" t="n">
        <v>0.13</v>
      </c>
      <c r="E12" s="34" t="n">
        <v>-0.15</v>
      </c>
    </row>
    <row r="13">
      <c r="B13" t="inlineStr">
        <is>
          <t>Rice husk boiler (captive)</t>
        </is>
      </c>
      <c r="C13" s="32" t="n">
        <v>0.99</v>
      </c>
      <c r="D13" s="33" t="n">
        <v>0.28</v>
      </c>
      <c r="E13" s="34" t="n">
        <v>0</v>
      </c>
    </row>
    <row r="14">
      <c r="B14" t="inlineStr">
        <is>
          <t>Solar (captive rooftop)</t>
        </is>
      </c>
      <c r="C14" s="32" t="n">
        <v>3.5</v>
      </c>
      <c r="D14" s="35" t="n">
        <v>1.01</v>
      </c>
      <c r="E14" s="34" t="n">
        <v>0.73</v>
      </c>
    </row>
    <row r="15">
      <c r="B15" t="inlineStr">
        <is>
          <t>Grid power (TANGEDCO HT)</t>
        </is>
      </c>
      <c r="C15" s="32" t="n">
        <v>10.45</v>
      </c>
      <c r="D15" s="36" t="n">
        <v>3</v>
      </c>
      <c r="E15" s="34" t="n">
        <v>2.72</v>
      </c>
    </row>
    <row r="16">
      <c r="B16" t="inlineStr">
        <is>
          <t>Diesel genset</t>
        </is>
      </c>
      <c r="C16" s="32" t="n">
        <v>28.47</v>
      </c>
      <c r="D16" s="36" t="n">
        <v>8.19</v>
      </c>
      <c r="E16" s="34" t="n">
        <v>7.909999999999999</v>
      </c>
    </row>
    <row r="18">
      <c r="B18" s="37" t="inlineStr">
        <is>
          <t>→ Husk-fired boiler (₹0.99/kWh) vs GRID (₹10.45) saves ₹2.7 cr/yr; vs DIESEL genset saves ₹7.9 cr/yr.</t>
        </is>
      </c>
    </row>
    <row r="19">
      <c r="B19" s="37" t="inlineStr">
        <is>
          <t>→ On the mill's ₹12.3 cr EBITDA, the fuel choice is one of the BIGGEST single margin levers —</t>
        </is>
      </c>
    </row>
    <row r="20">
      <c r="B20" s="38" t="inlineStr">
        <is>
          <t xml:space="preserve">  bigger than the groundnut line's whole contribution. Choosing captive husk/CBG is decisive.</t>
        </is>
      </c>
    </row>
    <row r="21">
      <c r="B21" s="37" t="inlineStr">
        <is>
          <t>→ CBG from the mill's OWN de-oiled cake + coconut shell/husk is cheaper still (₹0.45/kWh) and</t>
        </is>
      </c>
    </row>
    <row r="22">
      <c r="B22" s="38" t="inlineStr">
        <is>
          <t xml:space="preserve">  makes the mill energy-self-sufficient — the same residue-to-energy loop as the farm side.</t>
        </is>
      </c>
    </row>
    <row r="23">
      <c r="B23" s="37" t="inlineStr">
        <is>
          <t>→ WHY IT MATTERS: this is why oil mills co-locate with rice mills (husk) in the TN oil belt.</t>
        </is>
      </c>
    </row>
    <row r="24">
      <c r="B24" s="38" t="inlineStr">
        <is>
          <t xml:space="preserve">  A diesel/grid-run mill would lose most of its margin to energy; a husk/CBG mill keeps 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Farmer side — CBG loop &amp; Doubling Farmers' Income (DFI)</t>
        </is>
      </c>
    </row>
    <row r="3">
      <c r="B3" s="2" t="inlineStr">
        <is>
          <t>How the oil mill + CBG loop raises the groundnut/coconut farmer's income — the supply-side of the mill.</t>
        </is>
      </c>
    </row>
    <row r="5">
      <c r="B5" s="3" t="inlineStr">
        <is>
          <t>CBG LOOP — farmer cost of production (groundnut, per ha)</t>
        </is>
      </c>
      <c r="C5" s="4" t="n"/>
      <c r="D5" s="4" t="n"/>
      <c r="E5" s="4" t="n"/>
      <c r="F5" s="4" t="n"/>
      <c r="G5" s="4" t="n"/>
      <c r="H5" s="4" t="n"/>
    </row>
    <row r="6">
      <c r="B6" t="inlineStr">
        <is>
          <t>CNG fuel saving vs diesel (tractor)</t>
        </is>
      </c>
      <c r="C6" s="13" t="n">
        <v>3600</v>
      </c>
      <c r="E6" s="2" t="inlineStr">
        <is>
          <t>24% on fuel; ₹/ha</t>
        </is>
      </c>
    </row>
    <row r="7">
      <c r="B7" t="inlineStr">
        <is>
          <t>Net residue income (haulm/shell → CBG/feed)</t>
        </is>
      </c>
      <c r="C7" s="13" t="n">
        <v>2500</v>
      </c>
      <c r="E7" s="2" t="inlineStr">
        <is>
          <t>groundnut haulm + shell</t>
        </is>
      </c>
    </row>
    <row r="8">
      <c r="B8" t="inlineStr">
        <is>
          <t>Net FOM (break-even yr1)</t>
        </is>
      </c>
      <c r="C8" s="29" t="n">
        <v>0</v>
      </c>
      <c r="E8" s="2" t="inlineStr">
        <is>
          <t>soil-health positive long-term</t>
        </is>
      </c>
    </row>
    <row r="9">
      <c r="B9">
        <f> CBG loop benefit / ha</f>
        <v/>
      </c>
      <c r="C9" s="13" t="n">
        <v>6100</v>
      </c>
      <c r="E9" s="2" t="inlineStr">
        <is>
          <t>~6-8% of groundnut A2+FL</t>
        </is>
      </c>
    </row>
    <row r="11">
      <c r="B11" s="3" t="inlineStr">
        <is>
          <t>DOUBLING FARMERS' INCOME — the mill's 4 contributions</t>
        </is>
      </c>
      <c r="C11" s="4" t="n"/>
      <c r="D11" s="4" t="n"/>
      <c r="E11" s="4" t="n"/>
      <c r="F11" s="4" t="n"/>
      <c r="G11" s="4" t="n"/>
      <c r="H11" s="4" t="n"/>
    </row>
    <row r="12">
      <c r="B12" t="inlineStr">
        <is>
          <t>1. Real prices — assured local processing offtake</t>
        </is>
      </c>
      <c r="C12" s="7" t="n">
        <v>0.07000000000000001</v>
      </c>
      <c r="E12" s="2" t="inlineStr">
        <is>
          <t>~5-8% farmgate uplift on oilseed/copra</t>
        </is>
      </c>
    </row>
    <row r="13">
      <c r="B13" t="inlineStr">
        <is>
          <t>2. Cost saving — CBG loop (fuel+residue)</t>
        </is>
      </c>
      <c r="C13" s="29" t="n">
        <v>6100</v>
      </c>
      <c r="E13" s="2" t="inlineStr">
        <is>
          <t>₹/ha (above)</t>
        </is>
      </c>
    </row>
    <row r="14">
      <c r="B14" t="inlineStr">
        <is>
          <t>3. Byproduct income — shell/husk/haulm→CBG+feed</t>
        </is>
      </c>
      <c r="C14" s="29" t="n">
        <v>2500</v>
      </c>
      <c r="E14" s="2" t="inlineStr">
        <is>
          <t>resource-efficiency lever</t>
        </is>
      </c>
    </row>
    <row r="15">
      <c r="B15" t="inlineStr">
        <is>
          <t>4. Non-farm income — FPO share of mill PAT</t>
        </is>
      </c>
      <c r="C15" s="11" t="n">
        <v>7</v>
      </c>
      <c r="E15" s="2" t="inlineStr">
        <is>
          <t>₹7 cr PAT shared if farmer/FPO-owned</t>
        </is>
      </c>
    </row>
    <row r="17">
      <c r="B17" s="37" t="inlineStr">
        <is>
          <t>→ The Doubling Farmers' Income framework (Dalwai Committee) names 7 income sources. The combined</t>
        </is>
      </c>
    </row>
    <row r="18">
      <c r="B18" s="38" t="inlineStr">
        <is>
          <t xml:space="preserve">  oil mill + CBG loop hits FOUR of them at once: real prices, cost reduction, resource efficiency,</t>
        </is>
      </c>
    </row>
    <row r="19">
      <c r="B19" s="38" t="inlineStr">
        <is>
          <t xml:space="preserve">  and non-farm (processing) income — the same crop, four income streams.</t>
        </is>
      </c>
    </row>
    <row r="20">
      <c r="B20" s="37" t="inlineStr">
        <is>
          <t>→ A farmer supplying the mill AND running the CBG loop AND holding an FPO share captures:</t>
        </is>
      </c>
    </row>
    <row r="21">
      <c r="B21" s="38" t="inlineStr">
        <is>
          <t xml:space="preserve">  higher farmgate price + lower cost of production + residue income + a slice of the processing margin.</t>
        </is>
      </c>
    </row>
    <row r="22">
      <c r="B22" s="37" t="inlineStr">
        <is>
          <t>→ The mill does not double income alone — but it is exactly the 'value-addition + real-price + cost-cut'</t>
        </is>
      </c>
    </row>
    <row r="23">
      <c r="B23" s="38" t="inlineStr">
        <is>
          <t xml:space="preserve">  combination the DFI strategy calls for, anchored in TN's own crops (groundnut, coconut, paddy-bran).</t>
        </is>
      </c>
    </row>
    <row r="24">
      <c r="B24" s="37" t="inlineStr">
        <is>
          <t>→ THE FULL LOOP: crop → oil mill (price+jobs) → cake to Namakkal poultry (feed) → husk/CBG fuels the</t>
        </is>
      </c>
    </row>
    <row r="25">
      <c r="B25" s="38" t="inlineStr">
        <is>
          <t xml:space="preserve">  mill AND the farmer's tractor → slurry to the field. Every residue becomes income or energy.</t>
        </is>
      </c>
    </row>
    <row r="27">
      <c r="B27" s="2" t="inlineStr">
        <is>
          <t>Sources: Dalwai Committee (Doubling Farmers' Income, 2018, 7 sources); CACP A2+FL; PIB CNG-tractor &amp; SATAT CBG;</t>
        </is>
      </c>
    </row>
    <row r="28">
      <c r="B28" s="2" t="inlineStr">
        <is>
          <t>TN diesel/CNG Jul 2026; this workbook's mill P&amp;L. Illustrative — the DFI uplift is directional, not a guarantee.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2026-07-24T04:54:09Z</dcterms:created>
  <dcterms:modified xmlns:dcterms="http://purl.org/dc/terms/" xmlns:xsi="http://www.w3.org/2001/XMLSchema-instance" xsi:type="dcterms:W3CDTF">2026-07-30T22:15:23Z</dcterms:modified>
</cp:coreProperties>
</file>